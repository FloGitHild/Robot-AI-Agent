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3.1" sheetId="1" state="visible" r:id="rId3"/>
    <sheet name="3.3" sheetId="2" state="visible" r:id="rId4"/>
    <sheet name="3.4.1" sheetId="3" state="visible" r:id="rId5"/>
    <sheet name="3.4.2" sheetId="4" state="visible" r:id="rId6"/>
    <sheet name="3.4.3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<sst xmlns="http://schemas.openxmlformats.org/spreadsheetml/2006/main" count="90" uniqueCount="55">
  <si>
    <t xml:space="preserve">Versuch 3.1</t>
  </si>
  <si>
    <t xml:space="preserve">Nr.</t>
  </si>
  <si>
    <t xml:space="preserve">Winkel 0,5°</t>
  </si>
  <si>
    <t xml:space="preserve">Winkel '(0-30)</t>
  </si>
  <si>
    <t xml:space="preserve">winkel in ° genau</t>
  </si>
  <si>
    <t xml:space="preserve">-Abw</t>
  </si>
  <si>
    <t xml:space="preserve">+ Abw</t>
  </si>
  <si>
    <t xml:space="preserve">Abw. Schnitt</t>
  </si>
  <si>
    <t xml:space="preserve">Korrektur</t>
  </si>
  <si>
    <t xml:space="preserve">Geschätzte Abweichung:  (')</t>
  </si>
  <si>
    <t xml:space="preserve">Prisemnwinkel γ</t>
  </si>
  <si>
    <t xml:space="preserve">Abw kopie:</t>
  </si>
  <si>
    <t xml:space="preserve">𝜑1 (°)</t>
  </si>
  <si>
    <t xml:space="preserve">𝜑1 (')</t>
  </si>
  <si>
    <t xml:space="preserve">𝜑2 (°)</t>
  </si>
  <si>
    <t xml:space="preserve">𝜑2 (')</t>
  </si>
  <si>
    <t xml:space="preserve">Wert in ° genau</t>
  </si>
  <si>
    <t xml:space="preserve">Abw. -</t>
  </si>
  <si>
    <t xml:space="preserve">Abw. +</t>
  </si>
  <si>
    <t xml:space="preserve">𝜑1 ges.</t>
  </si>
  <si>
    <t xml:space="preserve">nach Links</t>
  </si>
  <si>
    <t xml:space="preserve">Abw. Kopie:</t>
  </si>
  <si>
    <t xml:space="preserve">Korr.</t>
  </si>
  <si>
    <t xml:space="preserve">Negative abweichung von der kleineren zahl</t>
  </si>
  <si>
    <t xml:space="preserve">Messung 1</t>
  </si>
  <si>
    <t xml:space="preserve">Postivite vaweichung von der größeren</t>
  </si>
  <si>
    <t xml:space="preserve">Farbe</t>
  </si>
  <si>
    <t xml:space="preserve"> λ in nm</t>
  </si>
  <si>
    <t xml:space="preserve">W (°)</t>
  </si>
  <si>
    <t xml:space="preserve">W(')</t>
  </si>
  <si>
    <t xml:space="preserve">Wges</t>
  </si>
  <si>
    <t xml:space="preserve">W-Abw</t>
  </si>
  <si>
    <t xml:space="preserve">W+Abw</t>
  </si>
  <si>
    <t xml:space="preserve">Schnitt M1 &amp; M2</t>
  </si>
  <si>
    <t xml:space="preserve">neg. Abw</t>
  </si>
  <si>
    <t xml:space="preserve">pos. Abw</t>
  </si>
  <si>
    <t xml:space="preserve">Schnitt Korrigiert</t>
  </si>
  <si>
    <t xml:space="preserve">Dunkelrot</t>
  </si>
  <si>
    <t xml:space="preserve">Rot</t>
  </si>
  <si>
    <t xml:space="preserve">Gelb</t>
  </si>
  <si>
    <t xml:space="preserve">Grün</t>
  </si>
  <si>
    <t xml:space="preserve">Blaugrün</t>
  </si>
  <si>
    <t xml:space="preserve">Blau</t>
  </si>
  <si>
    <t xml:space="preserve">Violett</t>
  </si>
  <si>
    <t xml:space="preserve"> </t>
  </si>
  <si>
    <t xml:space="preserve">Messung 2</t>
  </si>
  <si>
    <t xml:space="preserve">nach Rechts</t>
  </si>
  <si>
    <t xml:space="preserve">Durchschnitt M1 &amp; M2</t>
  </si>
  <si>
    <t xml:space="preserve">Schnitte Links</t>
  </si>
  <si>
    <t xml:space="preserve">Schnitte Rechts</t>
  </si>
  <si>
    <t xml:space="preserve">Differenz (Betrag)</t>
  </si>
  <si>
    <t xml:space="preserve">Schnitte Links korr.</t>
  </si>
  <si>
    <t xml:space="preserve">Schnitte Rechts korr.</t>
  </si>
  <si>
    <t xml:space="preserve">Betr. Korrigiert</t>
  </si>
  <si>
    <t xml:space="preserve">Duchschnitt fehler in farben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</si>
</sst>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@"/>
  </numFmts>
  <fonts count="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Calibri"/>
      <family val="2"/>
    </font>
    <font>
      <sz val="9"/>
      <color rgb="FF595959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  <a:ea typeface="Arial"/>
              </a:rPr>
              <a:t>Schnitt &amp; Abw.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22593068035944"/>
          <c:y val="0.0186021991263745"/>
          <c:w val="0.921402730773719"/>
          <c:h val="0.861726163578852"/>
        </c:manualLayout>
      </c:layout>
      <c:lineChart>
        <c:grouping val="standard"/>
        <c:varyColors val="0"/>
        <c:ser>
          <c:idx val="0"/>
          <c:order val="0"/>
          <c:tx>
            <c:strRef>
              <c:f>"Ø"</c:f>
              <c:strCache>
                <c:ptCount val="1"/>
                <c:pt idx="0">
                  <c:v>Ø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'3.4.1'!$N$10:$N$16</c:f>
              <c:numCache>
                <c:formatCode>General</c:formatCode>
                <c:ptCount val="7"/>
                <c:pt idx="0">
                  <c:v>47.0083333333333</c:v>
                </c:pt>
                <c:pt idx="1">
                  <c:v>47.175</c:v>
                </c:pt>
                <c:pt idx="2">
                  <c:v>47.725</c:v>
                </c:pt>
                <c:pt idx="3">
                  <c:v>48.65</c:v>
                </c:pt>
                <c:pt idx="4">
                  <c:v>48.7916666666667</c:v>
                </c:pt>
                <c:pt idx="5">
                  <c:v>49.1083333333333</c:v>
                </c:pt>
                <c:pt idx="6">
                  <c:v>49.6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"Ø - Abw"</c:f>
              <c:strCache>
                <c:ptCount val="1"/>
                <c:pt idx="0">
                  <c:v>Ø - Abw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'3.4.1'!$Q$10:$Q$16</c:f>
              <c:numCache>
                <c:formatCode>General</c:formatCode>
                <c:ptCount val="7"/>
                <c:pt idx="0">
                  <c:v>46.9833333333333</c:v>
                </c:pt>
                <c:pt idx="1">
                  <c:v>47.15</c:v>
                </c:pt>
                <c:pt idx="2">
                  <c:v>47.6833333333333</c:v>
                </c:pt>
                <c:pt idx="3">
                  <c:v>48.6333333333333</c:v>
                </c:pt>
                <c:pt idx="4">
                  <c:v>48.7666666666667</c:v>
                </c:pt>
                <c:pt idx="5">
                  <c:v>49.0833333333333</c:v>
                </c:pt>
                <c:pt idx="6">
                  <c:v>49.5666666666667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"Ø + Abw"</c:f>
              <c:strCache>
                <c:ptCount val="1"/>
                <c:pt idx="0">
                  <c:v>Ø + Abw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'3.4.1'!$S$10:$S$16</c:f>
              <c:numCache>
                <c:formatCode>General</c:formatCode>
                <c:ptCount val="7"/>
                <c:pt idx="0">
                  <c:v>47.0333333333333</c:v>
                </c:pt>
                <c:pt idx="1">
                  <c:v>47.2</c:v>
                </c:pt>
                <c:pt idx="2">
                  <c:v>47.7666666666667</c:v>
                </c:pt>
                <c:pt idx="3">
                  <c:v>48.6666666666667</c:v>
                </c:pt>
                <c:pt idx="4">
                  <c:v>48.8166666666667</c:v>
                </c:pt>
                <c:pt idx="5">
                  <c:v>49.1333333333333</c:v>
                </c:pt>
                <c:pt idx="6">
                  <c:v>49.6333333333333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4079618"/>
        <c:axId val="53467223"/>
      </c:lineChart>
      <c:catAx>
        <c:axId val="44079618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  <a:ea typeface="Arial"/>
              </a:defRPr>
            </a:pPr>
          </a:p>
        </c:txPr>
        <c:crossAx val="53467223"/>
        <c:crosses val="autoZero"/>
        <c:auto val="1"/>
        <c:lblAlgn val="ctr"/>
        <c:lblOffset val="100"/>
        <c:noMultiLvlLbl val="0"/>
      </c:catAx>
      <c:valAx>
        <c:axId val="53467223"/>
        <c:scaling>
          <c:orientation val="minMax"/>
          <c:max val="49.7"/>
          <c:min val="46.7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  <a:ea typeface="Arial"/>
              </a:defRPr>
            </a:pPr>
          </a:p>
        </c:txPr>
        <c:crossAx val="440796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  <a:ea typeface="Arial"/>
              </a:rPr>
              <a:t>Schnitt &amp; Abw.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22958469435371"/>
          <c:y val="0.0185965968980575"/>
          <c:w val="0.921371908539431"/>
          <c:h val="0.861767806053305"/>
        </c:manualLayout>
      </c:layout>
      <c:lineChart>
        <c:grouping val="standard"/>
        <c:varyColors val="0"/>
        <c:ser>
          <c:idx val="0"/>
          <c:order val="0"/>
          <c:tx>
            <c:strRef>
              <c:f>"Ø"</c:f>
              <c:strCache>
                <c:ptCount val="1"/>
                <c:pt idx="0">
                  <c:v>Ø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'3.4.2'!$N$10:$N$16</c:f>
              <c:numCache>
                <c:formatCode>General</c:formatCode>
                <c:ptCount val="7"/>
                <c:pt idx="0">
                  <c:v>312.35</c:v>
                </c:pt>
                <c:pt idx="1">
                  <c:v>312.15</c:v>
                </c:pt>
                <c:pt idx="2">
                  <c:v>311.6</c:v>
                </c:pt>
                <c:pt idx="3">
                  <c:v>310.666666666667</c:v>
                </c:pt>
                <c:pt idx="4">
                  <c:v>310.525</c:v>
                </c:pt>
                <c:pt idx="5">
                  <c:v>310.166666666667</c:v>
                </c:pt>
                <c:pt idx="6">
                  <c:v>309.666666666667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"Ø - Abw"</c:f>
              <c:strCache>
                <c:ptCount val="1"/>
                <c:pt idx="0">
                  <c:v>Ø - Abw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'3.4.2'!$Q$10:$Q$16</c:f>
              <c:numCache>
                <c:formatCode>General</c:formatCode>
                <c:ptCount val="7"/>
                <c:pt idx="0">
                  <c:v>312.316666666667</c:v>
                </c:pt>
                <c:pt idx="1">
                  <c:v>312.133333333333</c:v>
                </c:pt>
                <c:pt idx="2">
                  <c:v>311.583333333333</c:v>
                </c:pt>
                <c:pt idx="3">
                  <c:v>310.65</c:v>
                </c:pt>
                <c:pt idx="4">
                  <c:v>310.5</c:v>
                </c:pt>
                <c:pt idx="5">
                  <c:v>310.15</c:v>
                </c:pt>
                <c:pt idx="6">
                  <c:v>309.65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"Ø + Abw"</c:f>
              <c:strCache>
                <c:ptCount val="1"/>
                <c:pt idx="0">
                  <c:v>Ø + Abw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'3.4.2'!$S$10:$S$16</c:f>
              <c:numCache>
                <c:formatCode>General</c:formatCode>
                <c:ptCount val="7"/>
                <c:pt idx="0">
                  <c:v>312.383333333333</c:v>
                </c:pt>
                <c:pt idx="1">
                  <c:v>312.166666666667</c:v>
                </c:pt>
                <c:pt idx="2">
                  <c:v>311.616666666667</c:v>
                </c:pt>
                <c:pt idx="3">
                  <c:v>310.683333333333</c:v>
                </c:pt>
                <c:pt idx="4">
                  <c:v>310.55</c:v>
                </c:pt>
                <c:pt idx="5">
                  <c:v>310.183333333333</c:v>
                </c:pt>
                <c:pt idx="6">
                  <c:v>309.683333333333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2002339"/>
        <c:axId val="37973536"/>
      </c:lineChart>
      <c:catAx>
        <c:axId val="72002339"/>
        <c:scaling>
          <c:orientation val="minMax"/>
        </c:scaling>
        <c:delete val="0"/>
        <c:axPos val="b"/>
        <c:numFmt formatCode="General" sourceLinked="0"/>
        <c:majorTickMark val="none"/>
        <c:minorTickMark val="out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  <a:ea typeface="Arial"/>
              </a:defRPr>
            </a:pPr>
          </a:p>
        </c:txPr>
        <c:crossAx val="37973536"/>
        <c:crosses val="autoZero"/>
        <c:auto val="1"/>
        <c:lblAlgn val="ctr"/>
        <c:lblOffset val="100"/>
        <c:noMultiLvlLbl val="0"/>
      </c:catAx>
      <c:valAx>
        <c:axId val="37973536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  <a:ea typeface="Arial"/>
              </a:defRPr>
            </a:pPr>
          </a:p>
        </c:txPr>
        <c:crossAx val="720023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  <a:ea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0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000" b="0" u="none" strike="noStrike">
      <a:uFillTx/>
    </a:defRPr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121320</xdr:colOff>
      <xdr:row>17</xdr:row>
      <xdr:rowOff>72720</xdr:rowOff>
    </xdr:from>
    <xdr:to>
      <xdr:col>22</xdr:col>
      <xdr:colOff>175680</xdr:colOff>
      <xdr:row>43</xdr:row>
      <xdr:rowOff>147240</xdr:rowOff>
    </xdr:to>
    <xdr:graphicFrame>
      <xdr:nvGraphicFramePr>
        <xdr:cNvPr id="1" name=""/>
        <xdr:cNvGraphicFramePr/>
      </xdr:nvGraphicFramePr>
      <xdr:xfrm>
        <a:off x="7804800" y="3149280"/>
        <a:ext cx="6169320" cy="4779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609480</xdr:colOff>
      <xdr:row>18</xdr:row>
      <xdr:rowOff>179280</xdr:rowOff>
    </xdr:from>
    <xdr:to>
      <xdr:col>22</xdr:col>
      <xdr:colOff>54360</xdr:colOff>
      <xdr:row>45</xdr:row>
      <xdr:rowOff>74160</xdr:rowOff>
    </xdr:to>
    <xdr:graphicFrame>
      <xdr:nvGraphicFramePr>
        <xdr:cNvPr id="2" name=""/>
        <xdr:cNvGraphicFramePr/>
      </xdr:nvGraphicFramePr>
      <xdr:xfrm>
        <a:off x="7336080" y="3436920"/>
        <a:ext cx="6171480" cy="4781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11"/>
  <sheetViews>
    <sheetView showFormulas="false" showGridLines="true" showRowColHeaders="true" showZeros="true" rightToLeft="false" tabSelected="false" showOutlineSymbols="true" defaultGridColor="true" view="normal" topLeftCell="A1" colorId="64" zoomScale="102" zoomScaleNormal="102" zoomScalePageLayoutView="100" workbookViewId="0">
      <selection pane="topLeft" activeCell="G38" activeCellId="0" sqref="G38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0" width="13.15"/>
  </cols>
  <sheetData>
    <row r="2" customFormat="false" ht="14.25" hidden="false" customHeight="false" outlineLevel="0" collapsed="false">
      <c r="B2" s="0" t="s">
        <v>0</v>
      </c>
    </row>
    <row r="5" customFormat="false" ht="14.25" hidden="false" customHeight="false" outlineLevel="0" collapsed="false">
      <c r="B5" s="1" t="s">
        <v>1</v>
      </c>
      <c r="C5" s="1"/>
      <c r="D5" s="1" t="s">
        <v>2</v>
      </c>
      <c r="E5" s="1" t="s">
        <v>3</v>
      </c>
      <c r="F5" s="1"/>
      <c r="G5" s="1" t="s">
        <v>4</v>
      </c>
      <c r="I5" s="2" t="s">
        <v>5</v>
      </c>
      <c r="K5" s="2" t="s">
        <v>6</v>
      </c>
      <c r="M5" s="0" t="s">
        <v>7</v>
      </c>
      <c r="O5" s="0" t="s">
        <v>8</v>
      </c>
    </row>
    <row r="6" customFormat="false" ht="14.25" hidden="false" customHeight="false" outlineLevel="0" collapsed="false">
      <c r="B6" s="1"/>
      <c r="C6" s="1"/>
      <c r="D6" s="1"/>
      <c r="E6" s="1"/>
      <c r="F6" s="1"/>
      <c r="G6" s="1"/>
    </row>
    <row r="7" customFormat="false" ht="14.25" hidden="false" customHeight="false" outlineLevel="0" collapsed="false">
      <c r="B7" s="1" t="n">
        <v>1</v>
      </c>
      <c r="C7" s="1"/>
      <c r="D7" s="0" t="n">
        <v>359.5</v>
      </c>
      <c r="E7" s="0" t="n">
        <v>2</v>
      </c>
      <c r="G7" s="0" t="n">
        <f aca="false">D7+(E7/60)</f>
        <v>359.533333333333</v>
      </c>
      <c r="I7" s="0" t="n">
        <f aca="false">G7-(1/60)</f>
        <v>359.516666666667</v>
      </c>
      <c r="K7" s="0" t="n">
        <f aca="false">G7+(1/60)</f>
        <v>359.55</v>
      </c>
      <c r="M7" s="0" t="n">
        <f aca="false">AVERAGE(G7,G8)</f>
        <v>359.525</v>
      </c>
      <c r="O7" s="0" t="n">
        <f aca="false">M7-360</f>
        <v>-0.475000000000023</v>
      </c>
    </row>
    <row r="8" customFormat="false" ht="14.25" hidden="false" customHeight="false" outlineLevel="0" collapsed="false">
      <c r="B8" s="1" t="n">
        <v>1</v>
      </c>
      <c r="C8" s="1"/>
      <c r="D8" s="0" t="n">
        <v>359.5</v>
      </c>
      <c r="E8" s="0" t="n">
        <v>1</v>
      </c>
      <c r="G8" s="0" t="n">
        <f aca="false">D8+(E8/60)</f>
        <v>359.516666666667</v>
      </c>
      <c r="I8" s="0" t="n">
        <f aca="false">G8-(1/60)</f>
        <v>359.5</v>
      </c>
      <c r="K8" s="0" t="n">
        <f aca="false">G8+(1/60)</f>
        <v>359.533333333333</v>
      </c>
    </row>
    <row r="11" customFormat="false" ht="14.25" hidden="false" customHeight="false" outlineLevel="0" collapsed="false">
      <c r="B11" s="0" t="s">
        <v>9</v>
      </c>
      <c r="E11" s="0" t="n">
        <v>1</v>
      </c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K16"/>
  <sheetViews>
    <sheetView showFormulas="false" showGridLines="true" showRowColHeaders="true" showZeros="true" rightToLeft="false" tabSelected="false" showOutlineSymbols="true" defaultGridColor="true" view="normal" topLeftCell="A1" colorId="64" zoomScale="102" zoomScaleNormal="102" zoomScalePageLayoutView="100" workbookViewId="0">
      <selection pane="topLeft" activeCell="A1" activeCellId="0" sqref="A1"/>
    </sheetView>
  </sheetViews>
  <sheetFormatPr defaultColWidth="8.6796875" defaultRowHeight="14.25" customHeight="false" zeroHeight="false" outlineLevelRow="0" outlineLevelCol="0"/>
  <sheetData>
    <row r="4" customFormat="false" ht="14.25" hidden="false" customHeight="false" outlineLevel="0" collapsed="false">
      <c r="C4" s="0" t="s">
        <v>10</v>
      </c>
      <c r="J4" s="0" t="s">
        <v>11</v>
      </c>
      <c r="K4" s="0" t="n">
        <f aca="false">'3.1'!E11</f>
        <v>1</v>
      </c>
    </row>
    <row r="6" customFormat="false" ht="14.25" hidden="false" customHeight="false" outlineLevel="0" collapsed="false">
      <c r="C6" s="3" t="s">
        <v>12</v>
      </c>
      <c r="D6" s="3" t="s">
        <v>13</v>
      </c>
      <c r="F6" s="3" t="s">
        <v>14</v>
      </c>
      <c r="G6" s="3" t="s">
        <v>15</v>
      </c>
    </row>
    <row r="8" customFormat="false" ht="14.25" hidden="false" customHeight="false" outlineLevel="0" collapsed="false">
      <c r="C8" s="0" t="n">
        <v>253.5</v>
      </c>
      <c r="D8" s="0" t="n">
        <v>4</v>
      </c>
      <c r="F8" s="0" t="n">
        <v>313.5</v>
      </c>
      <c r="G8" s="0" t="n">
        <v>3</v>
      </c>
    </row>
    <row r="12" customFormat="false" ht="14.25" hidden="false" customHeight="false" outlineLevel="0" collapsed="false">
      <c r="D12" s="0" t="s">
        <v>16</v>
      </c>
      <c r="F12" s="0" t="s">
        <v>17</v>
      </c>
      <c r="H12" s="0" t="s">
        <v>18</v>
      </c>
    </row>
    <row r="14" customFormat="false" ht="14.25" hidden="false" customHeight="false" outlineLevel="0" collapsed="false">
      <c r="C14" s="3" t="s">
        <v>19</v>
      </c>
      <c r="D14" s="0" t="n">
        <f aca="false">C8+(D8/60)</f>
        <v>253.566666666667</v>
      </c>
      <c r="F14" s="0" t="n">
        <f aca="false">D14-($K$4/60)</f>
        <v>253.55</v>
      </c>
      <c r="H14" s="0" t="n">
        <f aca="false">D14+($K$4/60)</f>
        <v>253.583333333333</v>
      </c>
    </row>
    <row r="15" customFormat="false" ht="14.25" hidden="false" customHeight="false" outlineLevel="0" collapsed="false">
      <c r="C15" s="3"/>
    </row>
    <row r="16" customFormat="false" ht="14.25" hidden="false" customHeight="false" outlineLevel="0" collapsed="false">
      <c r="C16" s="3" t="s">
        <v>19</v>
      </c>
      <c r="D16" s="0" t="n">
        <f aca="false">F8+(G8/60)</f>
        <v>313.55</v>
      </c>
      <c r="F16" s="0" t="n">
        <f aca="false">D16-($K$4/60)</f>
        <v>313.533333333333</v>
      </c>
      <c r="H16" s="0" t="n">
        <f aca="false">D16+($K$4/60)</f>
        <v>313.566666666667</v>
      </c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U34"/>
  <sheetViews>
    <sheetView showFormulas="false" showGridLines="true" showRowColHeaders="true" showZeros="true" rightToLeft="false" tabSelected="true" showOutlineSymbols="true" defaultGridColor="true" view="normal" topLeftCell="A3" colorId="64" zoomScale="102" zoomScaleNormal="102" zoomScalePageLayoutView="100" workbookViewId="0">
      <selection pane="topLeft" activeCell="W30" activeCellId="0" sqref="W30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0" width="13.58"/>
  </cols>
  <sheetData>
    <row r="3" customFormat="false" ht="14.25" hidden="false" customHeight="false" outlineLevel="0" collapsed="false">
      <c r="B3" s="0" t="s">
        <v>20</v>
      </c>
      <c r="D3" s="0" t="s">
        <v>21</v>
      </c>
      <c r="E3" s="0" t="n">
        <f aca="false">'3.1'!E11</f>
        <v>1</v>
      </c>
    </row>
    <row r="4" customFormat="false" ht="14.25" hidden="false" customHeight="false" outlineLevel="0" collapsed="false">
      <c r="D4" s="0" t="s">
        <v>22</v>
      </c>
      <c r="E4" s="0" t="n">
        <f aca="false">'3.1'!O7</f>
        <v>-0.475000000000023</v>
      </c>
      <c r="Q4" s="0" t="s">
        <v>23</v>
      </c>
    </row>
    <row r="6" customFormat="false" ht="14.25" hidden="false" customHeight="false" outlineLevel="0" collapsed="false">
      <c r="B6" s="0" t="s">
        <v>24</v>
      </c>
      <c r="Q6" s="0" t="s">
        <v>25</v>
      </c>
    </row>
    <row r="8" customFormat="false" ht="14.25" hidden="false" customHeight="false" outlineLevel="0" collapsed="false">
      <c r="B8" s="0" t="s">
        <v>26</v>
      </c>
      <c r="D8" s="3" t="s">
        <v>27</v>
      </c>
      <c r="F8" s="0" t="s">
        <v>28</v>
      </c>
      <c r="G8" s="0" t="s">
        <v>29</v>
      </c>
      <c r="H8" s="0" t="s">
        <v>30</v>
      </c>
      <c r="J8" s="0" t="s">
        <v>31</v>
      </c>
      <c r="K8" s="0" t="s">
        <v>32</v>
      </c>
      <c r="N8" s="0" t="s">
        <v>33</v>
      </c>
      <c r="Q8" s="0" t="s">
        <v>34</v>
      </c>
      <c r="S8" s="0" t="s">
        <v>35</v>
      </c>
      <c r="U8" s="0" t="s">
        <v>36</v>
      </c>
    </row>
    <row r="10" customFormat="false" ht="14.25" hidden="false" customHeight="false" outlineLevel="0" collapsed="false">
      <c r="B10" s="0" t="s">
        <v>37</v>
      </c>
      <c r="D10" s="0" t="n">
        <v>706.54</v>
      </c>
      <c r="F10" s="0" t="n">
        <v>47</v>
      </c>
      <c r="G10" s="0" t="n">
        <v>1</v>
      </c>
      <c r="H10" s="0" t="n">
        <f aca="false">F10+(G10/60)</f>
        <v>47.0166666666667</v>
      </c>
      <c r="J10" s="0" t="n">
        <f aca="false">H10-($E$3/60)</f>
        <v>47</v>
      </c>
      <c r="K10" s="0" t="n">
        <f aca="false">H10+($E$3/60)</f>
        <v>47.0333333333333</v>
      </c>
      <c r="N10" s="0" t="n">
        <f aca="false">AVERAGE(H10,H23)</f>
        <v>47.0083333333333</v>
      </c>
      <c r="Q10" s="0" t="n">
        <f aca="false">H23-($E$3/60)</f>
        <v>46.9833333333333</v>
      </c>
      <c r="S10" s="0" t="n">
        <f aca="false">H10+($E$3/60)</f>
        <v>47.0333333333333</v>
      </c>
      <c r="U10" s="0" t="n">
        <f aca="false">N10+$E$4</f>
        <v>46.5333333333333</v>
      </c>
    </row>
    <row r="11" customFormat="false" ht="14.25" hidden="false" customHeight="false" outlineLevel="0" collapsed="false">
      <c r="B11" s="0" t="s">
        <v>38</v>
      </c>
      <c r="D11" s="0" t="n">
        <v>667.82</v>
      </c>
      <c r="F11" s="0" t="n">
        <v>47</v>
      </c>
      <c r="G11" s="0" t="n">
        <v>11</v>
      </c>
      <c r="H11" s="0" t="n">
        <f aca="false">F11+(G11/60)</f>
        <v>47.1833333333333</v>
      </c>
      <c r="J11" s="0" t="n">
        <f aca="false">H11-($E$3/60)</f>
        <v>47.1666666666667</v>
      </c>
      <c r="K11" s="0" t="n">
        <f aca="false">H11+($E$3/60)</f>
        <v>47.2</v>
      </c>
      <c r="N11" s="0" t="n">
        <f aca="false">AVERAGE(H11,H24)</f>
        <v>47.175</v>
      </c>
      <c r="Q11" s="0" t="n">
        <f aca="false">H24-($E$3/60)</f>
        <v>47.15</v>
      </c>
      <c r="S11" s="0" t="n">
        <f aca="false">H11+($E$3/60)</f>
        <v>47.2</v>
      </c>
      <c r="U11" s="0" t="n">
        <f aca="false">N11+$E$4</f>
        <v>46.7</v>
      </c>
    </row>
    <row r="12" customFormat="false" ht="14.25" hidden="false" customHeight="false" outlineLevel="0" collapsed="false">
      <c r="B12" s="0" t="s">
        <v>39</v>
      </c>
      <c r="D12" s="0" t="n">
        <v>587.56</v>
      </c>
      <c r="F12" s="0" t="n">
        <v>47.5</v>
      </c>
      <c r="G12" s="0" t="n">
        <v>12</v>
      </c>
      <c r="H12" s="0" t="n">
        <f aca="false">F12+(G12/60)</f>
        <v>47.7</v>
      </c>
      <c r="J12" s="0" t="n">
        <f aca="false">H12-($E$3/60)</f>
        <v>47.6833333333333</v>
      </c>
      <c r="K12" s="0" t="n">
        <f aca="false">H12+($E$3/60)</f>
        <v>47.7166666666667</v>
      </c>
      <c r="N12" s="0" t="n">
        <f aca="false">AVERAGE(H12,H25)</f>
        <v>47.725</v>
      </c>
      <c r="Q12" s="0" t="n">
        <f aca="false">H12-($E$3/60)</f>
        <v>47.6833333333333</v>
      </c>
      <c r="S12" s="0" t="n">
        <f aca="false">H25+($E$3/60)</f>
        <v>47.7666666666667</v>
      </c>
      <c r="U12" s="0" t="n">
        <f aca="false">N12+$E$4</f>
        <v>47.25</v>
      </c>
    </row>
    <row r="13" customFormat="false" ht="14.25" hidden="false" customHeight="false" outlineLevel="0" collapsed="false">
      <c r="B13" s="0" t="s">
        <v>40</v>
      </c>
      <c r="D13" s="0" t="n">
        <v>501.57</v>
      </c>
      <c r="F13" s="0" t="n">
        <v>48.5</v>
      </c>
      <c r="G13" s="0" t="n">
        <v>9</v>
      </c>
      <c r="H13" s="0" t="n">
        <f aca="false">F13+(G13/60)</f>
        <v>48.65</v>
      </c>
      <c r="J13" s="0" t="n">
        <f aca="false">H13-($E$3/60)</f>
        <v>48.6333333333333</v>
      </c>
      <c r="K13" s="0" t="n">
        <f aca="false">H13+($E$3/60)</f>
        <v>48.6666666666667</v>
      </c>
      <c r="N13" s="0" t="n">
        <f aca="false">AVERAGE(H13,H26)</f>
        <v>48.65</v>
      </c>
      <c r="Q13" s="0" t="n">
        <f aca="false">N13-($E$3/60)</f>
        <v>48.6333333333333</v>
      </c>
      <c r="S13" s="0" t="n">
        <f aca="false">N13+($E$3/60)</f>
        <v>48.6666666666667</v>
      </c>
      <c r="U13" s="0" t="n">
        <f aca="false">N13+$E$4</f>
        <v>48.175</v>
      </c>
    </row>
    <row r="14" customFormat="false" ht="14.25" hidden="false" customHeight="false" outlineLevel="0" collapsed="false">
      <c r="B14" s="0" t="s">
        <v>41</v>
      </c>
      <c r="D14" s="0" t="n">
        <v>492.19</v>
      </c>
      <c r="F14" s="0" t="n">
        <v>48.5</v>
      </c>
      <c r="G14" s="0" t="n">
        <v>17</v>
      </c>
      <c r="H14" s="0" t="n">
        <f aca="false">F14+(G14/60)</f>
        <v>48.7833333333333</v>
      </c>
      <c r="J14" s="0" t="n">
        <f aca="false">H14-($E$3/60)</f>
        <v>48.7666666666667</v>
      </c>
      <c r="K14" s="0" t="n">
        <f aca="false">H14+($E$3/60)</f>
        <v>48.8</v>
      </c>
      <c r="N14" s="0" t="n">
        <f aca="false">AVERAGE(H14,H27)</f>
        <v>48.7916666666667</v>
      </c>
      <c r="Q14" s="0" t="n">
        <f aca="false">H14-($E$3/60)</f>
        <v>48.7666666666667</v>
      </c>
      <c r="S14" s="0" t="n">
        <f aca="false">H27+($E$3/60)</f>
        <v>48.8166666666667</v>
      </c>
      <c r="U14" s="0" t="n">
        <f aca="false">N14+$E$4</f>
        <v>48.3166666666666</v>
      </c>
    </row>
    <row r="15" customFormat="false" ht="14.25" hidden="false" customHeight="false" outlineLevel="0" collapsed="false">
      <c r="B15" s="0" t="s">
        <v>42</v>
      </c>
      <c r="D15" s="0" t="n">
        <v>447.15</v>
      </c>
      <c r="F15" s="0" t="n">
        <v>49</v>
      </c>
      <c r="G15" s="0" t="n">
        <v>7</v>
      </c>
      <c r="H15" s="0" t="n">
        <f aca="false">F15+(G15/60)</f>
        <v>49.1166666666667</v>
      </c>
      <c r="J15" s="0" t="n">
        <f aca="false">H15-($E$3/60)</f>
        <v>49.1</v>
      </c>
      <c r="K15" s="0" t="n">
        <f aca="false">H15+($E$3/60)</f>
        <v>49.1333333333333</v>
      </c>
      <c r="N15" s="0" t="n">
        <f aca="false">AVERAGE(H15,H28)</f>
        <v>49.1083333333333</v>
      </c>
      <c r="Q15" s="0" t="n">
        <f aca="false">H28-($E$3/60)</f>
        <v>49.0833333333333</v>
      </c>
      <c r="S15" s="0" t="n">
        <f aca="false">H15+($E$3/60)</f>
        <v>49.1333333333333</v>
      </c>
      <c r="U15" s="0" t="n">
        <f aca="false">N15+$E$4</f>
        <v>48.6333333333333</v>
      </c>
    </row>
    <row r="16" customFormat="false" ht="14.25" hidden="false" customHeight="false" outlineLevel="0" collapsed="false">
      <c r="B16" s="0" t="s">
        <v>43</v>
      </c>
      <c r="D16" s="0" t="n">
        <v>438.79</v>
      </c>
      <c r="F16" s="0" t="n">
        <v>49.5</v>
      </c>
      <c r="G16" s="0" t="n">
        <v>7</v>
      </c>
      <c r="H16" s="0" t="n">
        <f aca="false">F16+(G16/60)</f>
        <v>49.6166666666667</v>
      </c>
      <c r="J16" s="0" t="n">
        <f aca="false">H16-($E$3/60)</f>
        <v>49.6</v>
      </c>
      <c r="K16" s="0" t="n">
        <f aca="false">H16+($E$3/60)</f>
        <v>49.6333333333333</v>
      </c>
      <c r="N16" s="0" t="n">
        <f aca="false">AVERAGE(H16,H29)</f>
        <v>49.6</v>
      </c>
      <c r="Q16" s="0" t="n">
        <f aca="false">H29-($E$3/60)</f>
        <v>49.5666666666667</v>
      </c>
      <c r="S16" s="0" t="n">
        <f aca="false">H16+($E$3/60)</f>
        <v>49.6333333333333</v>
      </c>
      <c r="U16" s="0" t="n">
        <f aca="false">N16+$E$4</f>
        <v>49.125</v>
      </c>
    </row>
    <row r="17" customFormat="false" ht="14.25" hidden="false" customHeight="false" outlineLevel="0" collapsed="false">
      <c r="O17" s="0" t="s">
        <v>44</v>
      </c>
    </row>
    <row r="19" customFormat="false" ht="14.25" hidden="false" customHeight="false" outlineLevel="0" collapsed="false">
      <c r="B19" s="0" t="s">
        <v>45</v>
      </c>
    </row>
    <row r="21" customFormat="false" ht="14.25" hidden="false" customHeight="false" outlineLevel="0" collapsed="false">
      <c r="B21" s="0" t="s">
        <v>26</v>
      </c>
      <c r="C21" s="4"/>
      <c r="D21" s="0" t="s">
        <v>27</v>
      </c>
      <c r="E21" s="4"/>
      <c r="F21" s="0" t="s">
        <v>28</v>
      </c>
      <c r="G21" s="0" t="s">
        <v>29</v>
      </c>
      <c r="H21" s="0" t="s">
        <v>30</v>
      </c>
      <c r="I21" s="4" t="s">
        <v>44</v>
      </c>
      <c r="J21" s="0" t="s">
        <v>31</v>
      </c>
      <c r="K21" s="0" t="s">
        <v>32</v>
      </c>
    </row>
    <row r="22" customFormat="false" ht="14.25" hidden="false" customHeight="false" outlineLevel="0" collapsed="false">
      <c r="B22" s="4"/>
      <c r="C22" s="4"/>
      <c r="D22" s="4"/>
      <c r="E22" s="4"/>
      <c r="F22" s="4"/>
      <c r="G22" s="4"/>
      <c r="H22" s="4"/>
      <c r="I22" s="4"/>
      <c r="J22" s="4"/>
      <c r="K22" s="4"/>
    </row>
    <row r="23" customFormat="false" ht="14.25" hidden="false" customHeight="false" outlineLevel="0" collapsed="false">
      <c r="B23" s="0" t="str">
        <f aca="false">B10</f>
        <v>Dunkelrot</v>
      </c>
      <c r="C23" s="4"/>
      <c r="D23" s="4" t="n">
        <v>706.54</v>
      </c>
      <c r="E23" s="4"/>
      <c r="F23" s="4" t="n">
        <v>47</v>
      </c>
      <c r="G23" s="4" t="n">
        <v>0</v>
      </c>
      <c r="H23" s="4" t="n">
        <f aca="false">F23+(G23/60)</f>
        <v>47</v>
      </c>
      <c r="I23" s="4"/>
      <c r="J23" s="4" t="n">
        <f aca="false">H23-($E$3/60)</f>
        <v>46.9833333333333</v>
      </c>
      <c r="K23" s="4" t="n">
        <f aca="false">H23+($E$3/60)</f>
        <v>47.0166666666667</v>
      </c>
    </row>
    <row r="24" customFormat="false" ht="14.25" hidden="false" customHeight="false" outlineLevel="0" collapsed="false">
      <c r="B24" s="0" t="str">
        <f aca="false">B11</f>
        <v>Rot</v>
      </c>
      <c r="C24" s="4"/>
      <c r="D24" s="4" t="n">
        <v>667.82</v>
      </c>
      <c r="E24" s="4"/>
      <c r="F24" s="4" t="n">
        <v>47</v>
      </c>
      <c r="G24" s="4" t="n">
        <v>10</v>
      </c>
      <c r="H24" s="4" t="n">
        <f aca="false">F24+(G24/60)</f>
        <v>47.1666666666667</v>
      </c>
      <c r="I24" s="4"/>
      <c r="J24" s="4" t="n">
        <f aca="false">H24-($E$3/60)</f>
        <v>47.15</v>
      </c>
      <c r="K24" s="4" t="n">
        <f aca="false">H24+($E$3/60)</f>
        <v>47.1833333333333</v>
      </c>
    </row>
    <row r="25" customFormat="false" ht="14.25" hidden="false" customHeight="false" outlineLevel="0" collapsed="false">
      <c r="B25" s="0" t="str">
        <f aca="false">B12</f>
        <v>Gelb</v>
      </c>
      <c r="C25" s="4"/>
      <c r="D25" s="4" t="n">
        <v>587.56</v>
      </c>
      <c r="E25" s="4"/>
      <c r="F25" s="4" t="n">
        <v>47.5</v>
      </c>
      <c r="G25" s="4" t="n">
        <v>15</v>
      </c>
      <c r="H25" s="4" t="n">
        <f aca="false">F25+(G25/60)</f>
        <v>47.75</v>
      </c>
      <c r="I25" s="4"/>
      <c r="J25" s="4" t="n">
        <f aca="false">H25-($E$3/60)</f>
        <v>47.7333333333333</v>
      </c>
      <c r="K25" s="4" t="n">
        <f aca="false">H25+($E$3/60)</f>
        <v>47.7666666666667</v>
      </c>
    </row>
    <row r="26" customFormat="false" ht="14.25" hidden="false" customHeight="false" outlineLevel="0" collapsed="false">
      <c r="B26" s="0" t="str">
        <f aca="false">B13</f>
        <v>Grün</v>
      </c>
      <c r="C26" s="4"/>
      <c r="D26" s="4" t="n">
        <v>501.57</v>
      </c>
      <c r="E26" s="4"/>
      <c r="F26" s="4" t="n">
        <v>48.5</v>
      </c>
      <c r="G26" s="4" t="n">
        <v>9</v>
      </c>
      <c r="H26" s="4" t="n">
        <f aca="false">F26+(G26/60)</f>
        <v>48.65</v>
      </c>
      <c r="I26" s="4"/>
      <c r="J26" s="4" t="n">
        <f aca="false">H26-($E$3/60)</f>
        <v>48.6333333333333</v>
      </c>
      <c r="K26" s="4" t="n">
        <f aca="false">H26+($E$3/60)</f>
        <v>48.6666666666667</v>
      </c>
    </row>
    <row r="27" customFormat="false" ht="14.25" hidden="false" customHeight="false" outlineLevel="0" collapsed="false">
      <c r="B27" s="0" t="str">
        <f aca="false">B14</f>
        <v>Blaugrün</v>
      </c>
      <c r="C27" s="4"/>
      <c r="D27" s="4" t="n">
        <v>492.19</v>
      </c>
      <c r="E27" s="4"/>
      <c r="F27" s="4" t="n">
        <v>48.5</v>
      </c>
      <c r="G27" s="4" t="n">
        <v>18</v>
      </c>
      <c r="H27" s="4" t="n">
        <f aca="false">F27+(G27/60)</f>
        <v>48.8</v>
      </c>
      <c r="I27" s="4"/>
      <c r="J27" s="4" t="n">
        <f aca="false">H27-($E$3/60)</f>
        <v>48.7833333333333</v>
      </c>
      <c r="K27" s="4" t="n">
        <f aca="false">H27+($E$3/60)</f>
        <v>48.8166666666667</v>
      </c>
    </row>
    <row r="28" customFormat="false" ht="14.25" hidden="false" customHeight="false" outlineLevel="0" collapsed="false">
      <c r="B28" s="0" t="str">
        <f aca="false">B15</f>
        <v>Blau</v>
      </c>
      <c r="C28" s="4"/>
      <c r="D28" s="4" t="n">
        <v>447.15</v>
      </c>
      <c r="E28" s="4"/>
      <c r="F28" s="4" t="n">
        <v>49</v>
      </c>
      <c r="G28" s="4" t="n">
        <v>6</v>
      </c>
      <c r="H28" s="4" t="n">
        <f aca="false">F28+(G28/60)</f>
        <v>49.1</v>
      </c>
      <c r="I28" s="4"/>
      <c r="J28" s="4" t="n">
        <f aca="false">H28-($E$3/60)</f>
        <v>49.0833333333333</v>
      </c>
      <c r="K28" s="4" t="n">
        <f aca="false">H28+($E$3/60)</f>
        <v>49.1166666666667</v>
      </c>
    </row>
    <row r="29" customFormat="false" ht="14.25" hidden="false" customHeight="false" outlineLevel="0" collapsed="false">
      <c r="B29" s="0" t="str">
        <f aca="false">B16</f>
        <v>Violett</v>
      </c>
      <c r="C29" s="4"/>
      <c r="D29" s="4" t="n">
        <v>438.79</v>
      </c>
      <c r="E29" s="4"/>
      <c r="F29" s="4" t="n">
        <v>49.5</v>
      </c>
      <c r="G29" s="4" t="n">
        <v>5</v>
      </c>
      <c r="H29" s="4" t="n">
        <f aca="false">F29+(G29/60)</f>
        <v>49.5833333333333</v>
      </c>
      <c r="I29" s="4"/>
      <c r="J29" s="4" t="n">
        <f aca="false">H29-($E$3/60)</f>
        <v>49.5666666666667</v>
      </c>
      <c r="K29" s="4" t="n">
        <f aca="false">H29+($E$3/60)</f>
        <v>49.6</v>
      </c>
    </row>
    <row r="34" customFormat="false" ht="14.25" hidden="false" customHeight="false" outlineLevel="0" collapsed="false">
      <c r="H34" s="4"/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W46"/>
  <sheetViews>
    <sheetView showFormulas="false" showGridLines="true" showRowColHeaders="true" showZeros="true" rightToLeft="false" tabSelected="false" showOutlineSymbols="true" defaultGridColor="true" view="normal" topLeftCell="A1" colorId="64" zoomScale="102" zoomScaleNormal="102" zoomScalePageLayoutView="100" workbookViewId="0">
      <selection pane="topLeft" activeCell="A1" activeCellId="0" sqref="A1"/>
    </sheetView>
  </sheetViews>
  <sheetFormatPr defaultColWidth="8.6796875" defaultRowHeight="14.25" customHeight="false" zeroHeight="false" outlineLevelRow="0" outlineLevelCol="0"/>
  <sheetData>
    <row r="3" customFormat="false" ht="14.25" hidden="false" customHeight="false" outlineLevel="0" collapsed="false">
      <c r="B3" s="4" t="s">
        <v>46</v>
      </c>
      <c r="C3" s="4"/>
      <c r="D3" s="4" t="s">
        <v>21</v>
      </c>
      <c r="E3" s="4" t="n">
        <f aca="false">'3.1'!E11</f>
        <v>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4.25" hidden="false" customHeight="false" outlineLevel="0" collapsed="false">
      <c r="B4" s="4"/>
      <c r="C4" s="4"/>
      <c r="D4" s="0" t="s">
        <v>22</v>
      </c>
      <c r="E4" s="4" t="n">
        <f aca="false">'3.1'!O7</f>
        <v>-0.475000000000023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0" t="s">
        <v>23</v>
      </c>
      <c r="R4" s="4"/>
      <c r="S4" s="4"/>
      <c r="T4" s="4"/>
      <c r="U4" s="4"/>
      <c r="V4" s="4"/>
      <c r="W4" s="4"/>
    </row>
    <row r="5" customFormat="false" ht="14.25" hidden="false" customHeight="false" outlineLevel="0" collapsed="false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4.25" hidden="false" customHeight="false" outlineLevel="0" collapsed="false">
      <c r="B6" s="4" t="s">
        <v>24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0" t="s">
        <v>25</v>
      </c>
      <c r="R6" s="4"/>
      <c r="S6" s="4"/>
      <c r="T6" s="4"/>
      <c r="U6" s="4"/>
      <c r="V6" s="4"/>
      <c r="W6" s="4"/>
    </row>
    <row r="7" customFormat="false" ht="14.25" hidden="false" customHeight="false" outlineLevel="0" collapsed="false"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customFormat="false" ht="14.25" hidden="false" customHeight="false" outlineLevel="0" collapsed="false">
      <c r="B8" s="4" t="s">
        <v>26</v>
      </c>
      <c r="C8" s="4"/>
      <c r="D8" s="0" t="s">
        <v>27</v>
      </c>
      <c r="E8" s="4"/>
      <c r="F8" s="4" t="s">
        <v>28</v>
      </c>
      <c r="G8" s="4" t="s">
        <v>29</v>
      </c>
      <c r="H8" s="4" t="s">
        <v>30</v>
      </c>
      <c r="I8" s="4"/>
      <c r="J8" s="4" t="s">
        <v>31</v>
      </c>
      <c r="K8" s="4" t="s">
        <v>32</v>
      </c>
      <c r="L8" s="4"/>
      <c r="M8" s="4"/>
      <c r="N8" s="4" t="s">
        <v>47</v>
      </c>
      <c r="O8" s="4"/>
      <c r="P8" s="4"/>
      <c r="Q8" s="0" t="s">
        <v>34</v>
      </c>
      <c r="R8" s="4"/>
      <c r="S8" s="0" t="s">
        <v>35</v>
      </c>
      <c r="T8" s="4"/>
      <c r="U8" s="0" t="s">
        <v>36</v>
      </c>
      <c r="V8" s="4"/>
      <c r="W8" s="4"/>
    </row>
    <row r="9" customFormat="false" ht="14.25" hidden="false" customHeight="false" outlineLevel="0" collapsed="false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customFormat="false" ht="14.25" hidden="false" customHeight="false" outlineLevel="0" collapsed="false">
      <c r="B10" s="4" t="str">
        <f aca="false">'3.4.1'!B10</f>
        <v>Dunkelrot</v>
      </c>
      <c r="C10" s="4"/>
      <c r="D10" s="4" t="n">
        <v>706.54</v>
      </c>
      <c r="E10" s="4"/>
      <c r="F10" s="4" t="n">
        <v>312</v>
      </c>
      <c r="G10" s="4" t="n">
        <v>22</v>
      </c>
      <c r="H10" s="4" t="n">
        <f aca="false">F10+(G10/60)</f>
        <v>312.366666666667</v>
      </c>
      <c r="I10" s="4"/>
      <c r="J10" s="4" t="n">
        <f aca="false">H10-($E$3/60)</f>
        <v>312.35</v>
      </c>
      <c r="K10" s="4" t="n">
        <f aca="false">H10+($E$3/60)</f>
        <v>312.383333333333</v>
      </c>
      <c r="L10" s="4"/>
      <c r="M10" s="4"/>
      <c r="N10" s="4" t="n">
        <f aca="false">AVERAGE(H10,H23)</f>
        <v>312.35</v>
      </c>
      <c r="O10" s="4"/>
      <c r="P10" s="4"/>
      <c r="Q10" s="4" t="n">
        <f aca="false">H23-($E$3/60)</f>
        <v>312.316666666667</v>
      </c>
      <c r="R10" s="4"/>
      <c r="S10" s="4" t="n">
        <f aca="false">H10+($E$3/60)</f>
        <v>312.383333333333</v>
      </c>
      <c r="T10" s="4"/>
      <c r="U10" s="4" t="n">
        <f aca="false">N10-$E$4</f>
        <v>312.825</v>
      </c>
      <c r="V10" s="4"/>
      <c r="W10" s="4"/>
    </row>
    <row r="11" customFormat="false" ht="14.25" hidden="false" customHeight="false" outlineLevel="0" collapsed="false">
      <c r="B11" s="4" t="str">
        <f aca="false">'3.4.1'!B11</f>
        <v>Rot</v>
      </c>
      <c r="C11" s="4"/>
      <c r="D11" s="4" t="n">
        <v>667.82</v>
      </c>
      <c r="E11" s="4"/>
      <c r="F11" s="4" t="n">
        <v>312</v>
      </c>
      <c r="G11" s="4" t="n">
        <v>9</v>
      </c>
      <c r="H11" s="4" t="n">
        <f aca="false">F11+(G11/60)</f>
        <v>312.15</v>
      </c>
      <c r="I11" s="4"/>
      <c r="J11" s="4" t="n">
        <f aca="false">H11-($E$3/60)</f>
        <v>312.133333333333</v>
      </c>
      <c r="K11" s="4" t="n">
        <f aca="false">H11+($E$3/60)</f>
        <v>312.166666666667</v>
      </c>
      <c r="L11" s="4"/>
      <c r="M11" s="4"/>
      <c r="N11" s="4" t="n">
        <f aca="false">AVERAGE(H11,H24)</f>
        <v>312.15</v>
      </c>
      <c r="O11" s="4"/>
      <c r="P11" s="4"/>
      <c r="Q11" s="4" t="n">
        <f aca="false">H24-($E$3/60)</f>
        <v>312.133333333333</v>
      </c>
      <c r="R11" s="4"/>
      <c r="S11" s="4" t="n">
        <f aca="false">H11+($E$3/60)</f>
        <v>312.166666666667</v>
      </c>
      <c r="T11" s="4"/>
      <c r="U11" s="4" t="n">
        <f aca="false">N11-$E$4</f>
        <v>312.625</v>
      </c>
      <c r="V11" s="4"/>
      <c r="W11" s="4"/>
    </row>
    <row r="12" customFormat="false" ht="14.25" hidden="false" customHeight="false" outlineLevel="0" collapsed="false">
      <c r="B12" s="4" t="str">
        <f aca="false">'3.4.1'!B12</f>
        <v>Gelb</v>
      </c>
      <c r="C12" s="4"/>
      <c r="D12" s="4" t="n">
        <v>587.56</v>
      </c>
      <c r="E12" s="4"/>
      <c r="F12" s="4" t="n">
        <v>311.5</v>
      </c>
      <c r="G12" s="4" t="n">
        <v>6</v>
      </c>
      <c r="H12" s="4" t="n">
        <f aca="false">F12+(G12/60)</f>
        <v>311.6</v>
      </c>
      <c r="I12" s="4"/>
      <c r="J12" s="4" t="n">
        <f aca="false">H12-($E$3/60)</f>
        <v>311.583333333333</v>
      </c>
      <c r="K12" s="4" t="n">
        <f aca="false">H12+($E$3/60)</f>
        <v>311.616666666667</v>
      </c>
      <c r="L12" s="4"/>
      <c r="M12" s="4"/>
      <c r="N12" s="4" t="n">
        <f aca="false">AVERAGE(H12,H25)</f>
        <v>311.6</v>
      </c>
      <c r="O12" s="4"/>
      <c r="P12" s="4"/>
      <c r="Q12" s="4" t="n">
        <f aca="false">H12-($E$3/60)</f>
        <v>311.583333333333</v>
      </c>
      <c r="R12" s="4"/>
      <c r="S12" s="4" t="n">
        <f aca="false">H25+($E$3/60)</f>
        <v>311.616666666667</v>
      </c>
      <c r="T12" s="4"/>
      <c r="U12" s="4" t="n">
        <f aca="false">N12-$E$4</f>
        <v>312.075</v>
      </c>
      <c r="V12" s="4"/>
      <c r="W12" s="4"/>
    </row>
    <row r="13" customFormat="false" ht="14.25" hidden="false" customHeight="false" outlineLevel="0" collapsed="false">
      <c r="B13" s="4" t="str">
        <f aca="false">'3.4.1'!B13</f>
        <v>Grün</v>
      </c>
      <c r="C13" s="4"/>
      <c r="D13" s="4" t="n">
        <v>501.57</v>
      </c>
      <c r="E13" s="4"/>
      <c r="F13" s="4" t="n">
        <v>310.5</v>
      </c>
      <c r="G13" s="4" t="n">
        <v>10</v>
      </c>
      <c r="H13" s="4" t="n">
        <f aca="false">F13+(G13/60)</f>
        <v>310.666666666667</v>
      </c>
      <c r="I13" s="4"/>
      <c r="J13" s="4" t="n">
        <f aca="false">H13-($E$3/60)</f>
        <v>310.65</v>
      </c>
      <c r="K13" s="4" t="n">
        <f aca="false">H13+($E$3/60)</f>
        <v>310.683333333333</v>
      </c>
      <c r="L13" s="4"/>
      <c r="M13" s="4"/>
      <c r="N13" s="4" t="n">
        <f aca="false">AVERAGE(H13,H26)</f>
        <v>310.666666666667</v>
      </c>
      <c r="O13" s="4"/>
      <c r="P13" s="4"/>
      <c r="Q13" s="4" t="n">
        <f aca="false">H13-($E$3/60)</f>
        <v>310.65</v>
      </c>
      <c r="R13" s="4"/>
      <c r="S13" s="4" t="n">
        <f aca="false">N13+($E$3/60)</f>
        <v>310.683333333333</v>
      </c>
      <c r="T13" s="4"/>
      <c r="U13" s="4" t="n">
        <f aca="false">N13-$E$4</f>
        <v>311.141666666667</v>
      </c>
      <c r="V13" s="4"/>
      <c r="W13" s="4"/>
    </row>
    <row r="14" customFormat="false" ht="14.25" hidden="false" customHeight="false" outlineLevel="0" collapsed="false">
      <c r="B14" s="4" t="str">
        <f aca="false">'3.4.1'!B14</f>
        <v>Blaugrün</v>
      </c>
      <c r="C14" s="4"/>
      <c r="D14" s="4" t="n">
        <v>492.19</v>
      </c>
      <c r="E14" s="4"/>
      <c r="F14" s="4" t="n">
        <v>310.5</v>
      </c>
      <c r="G14" s="4" t="n">
        <v>1</v>
      </c>
      <c r="H14" s="4" t="n">
        <f aca="false">F14+(G14/60)</f>
        <v>310.516666666667</v>
      </c>
      <c r="I14" s="4"/>
      <c r="J14" s="4" t="n">
        <f aca="false">H14-($E$3/60)</f>
        <v>310.5</v>
      </c>
      <c r="K14" s="4" t="n">
        <f aca="false">H14+($E$3/60)</f>
        <v>310.533333333333</v>
      </c>
      <c r="L14" s="4"/>
      <c r="M14" s="4"/>
      <c r="N14" s="4" t="n">
        <f aca="false">AVERAGE(H14,H27)</f>
        <v>310.525</v>
      </c>
      <c r="O14" s="4"/>
      <c r="P14" s="4"/>
      <c r="Q14" s="4" t="n">
        <f aca="false">H14-($E$3/60)</f>
        <v>310.5</v>
      </c>
      <c r="R14" s="4"/>
      <c r="S14" s="4" t="n">
        <f aca="false">H27+($E$3/60)</f>
        <v>310.55</v>
      </c>
      <c r="T14" s="4"/>
      <c r="U14" s="4" t="n">
        <f aca="false">N14-$E$4</f>
        <v>311</v>
      </c>
      <c r="V14" s="4"/>
      <c r="W14" s="4"/>
    </row>
    <row r="15" customFormat="false" ht="14.25" hidden="false" customHeight="false" outlineLevel="0" collapsed="false">
      <c r="B15" s="4" t="str">
        <f aca="false">'3.4.1'!B15</f>
        <v>Blau</v>
      </c>
      <c r="C15" s="4"/>
      <c r="D15" s="4" t="n">
        <v>447.15</v>
      </c>
      <c r="E15" s="4"/>
      <c r="F15" s="4" t="n">
        <v>310</v>
      </c>
      <c r="G15" s="4" t="n">
        <v>10</v>
      </c>
      <c r="H15" s="4" t="n">
        <f aca="false">F15+(G15/60)</f>
        <v>310.166666666667</v>
      </c>
      <c r="I15" s="4"/>
      <c r="J15" s="4" t="n">
        <f aca="false">H15-($E$3/60)</f>
        <v>310.15</v>
      </c>
      <c r="K15" s="4" t="n">
        <f aca="false">H15+($E$3/60)</f>
        <v>310.183333333333</v>
      </c>
      <c r="L15" s="4"/>
      <c r="M15" s="4"/>
      <c r="N15" s="4" t="n">
        <f aca="false">AVERAGE(H15,H28)</f>
        <v>310.166666666667</v>
      </c>
      <c r="O15" s="4"/>
      <c r="P15" s="4"/>
      <c r="Q15" s="4" t="n">
        <f aca="false">H15-($E$3/60)</f>
        <v>310.15</v>
      </c>
      <c r="R15" s="4"/>
      <c r="S15" s="4" t="n">
        <f aca="false">H28+($E$3/60)</f>
        <v>310.183333333333</v>
      </c>
      <c r="T15" s="4"/>
      <c r="U15" s="4" t="n">
        <f aca="false">N15-$E$4</f>
        <v>310.641666666667</v>
      </c>
      <c r="V15" s="4"/>
      <c r="W15" s="4"/>
    </row>
    <row r="16" customFormat="false" ht="14.25" hidden="false" customHeight="false" outlineLevel="0" collapsed="false">
      <c r="B16" s="4" t="str">
        <f aca="false">'3.4.1'!B16</f>
        <v>Violett</v>
      </c>
      <c r="C16" s="4"/>
      <c r="D16" s="4" t="n">
        <v>438.79</v>
      </c>
      <c r="E16" s="4"/>
      <c r="F16" s="4" t="n">
        <v>309.5</v>
      </c>
      <c r="G16" s="4" t="n">
        <v>10</v>
      </c>
      <c r="H16" s="4" t="n">
        <f aca="false">F16+(G16/60)</f>
        <v>309.666666666667</v>
      </c>
      <c r="I16" s="4"/>
      <c r="J16" s="4" t="n">
        <f aca="false">H16-($E$3/60)</f>
        <v>309.65</v>
      </c>
      <c r="K16" s="4" t="n">
        <f aca="false">H16+($E$3/60)</f>
        <v>309.683333333333</v>
      </c>
      <c r="L16" s="4"/>
      <c r="M16" s="4"/>
      <c r="N16" s="4" t="n">
        <f aca="false">AVERAGE(H16,H29)</f>
        <v>309.666666666667</v>
      </c>
      <c r="O16" s="4"/>
      <c r="P16" s="4"/>
      <c r="Q16" s="4" t="n">
        <f aca="false">H16-($E$3/60)</f>
        <v>309.65</v>
      </c>
      <c r="R16" s="4"/>
      <c r="S16" s="4" t="n">
        <f aca="false">H29+($E$3/60)</f>
        <v>309.683333333333</v>
      </c>
      <c r="T16" s="4"/>
      <c r="U16" s="4" t="n">
        <f aca="false">N16-$E$4</f>
        <v>310.141666666667</v>
      </c>
      <c r="V16" s="4"/>
      <c r="W16" s="4"/>
    </row>
    <row r="17" customFormat="false" ht="14.25" hidden="false" customHeight="false" outlineLevel="0" collapsed="false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 t="s">
        <v>44</v>
      </c>
      <c r="P17" s="4"/>
      <c r="Q17" s="4"/>
      <c r="R17" s="4"/>
      <c r="S17" s="4"/>
      <c r="T17" s="4"/>
      <c r="U17" s="4"/>
      <c r="V17" s="4"/>
      <c r="W17" s="4"/>
    </row>
    <row r="18" customFormat="false" ht="14.25" hidden="false" customHeight="false" outlineLevel="0" collapsed="false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4.25" hidden="false" customHeight="false" outlineLevel="0" collapsed="false">
      <c r="B19" s="4" t="s">
        <v>45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4.25" hidden="false" customHeight="false" outlineLevel="0" collapsed="false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4.25" hidden="false" customHeight="false" outlineLevel="0" collapsed="false">
      <c r="B21" s="4" t="s">
        <v>26</v>
      </c>
      <c r="C21" s="4"/>
      <c r="D21" s="4" t="s">
        <v>27</v>
      </c>
      <c r="E21" s="4"/>
      <c r="F21" s="4" t="s">
        <v>28</v>
      </c>
      <c r="G21" s="4" t="s">
        <v>29</v>
      </c>
      <c r="H21" s="4" t="s">
        <v>30</v>
      </c>
      <c r="I21" s="4" t="s">
        <v>44</v>
      </c>
      <c r="J21" s="4" t="s">
        <v>31</v>
      </c>
      <c r="K21" s="4" t="s">
        <v>32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4.25" hidden="false" customHeight="false" outlineLevel="0" collapsed="false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4.25" hidden="false" customHeight="false" outlineLevel="0" collapsed="false">
      <c r="B23" s="4" t="str">
        <f aca="false">B10</f>
        <v>Dunkelrot</v>
      </c>
      <c r="C23" s="4"/>
      <c r="D23" s="4" t="n">
        <v>706.54</v>
      </c>
      <c r="E23" s="4"/>
      <c r="F23" s="4" t="n">
        <v>312</v>
      </c>
      <c r="G23" s="4" t="n">
        <v>20</v>
      </c>
      <c r="H23" s="4" t="n">
        <f aca="false">F23+(G23/60)</f>
        <v>312.333333333333</v>
      </c>
      <c r="I23" s="4"/>
      <c r="J23" s="4" t="n">
        <f aca="false">H23-($E$3/60)</f>
        <v>312.316666666667</v>
      </c>
      <c r="K23" s="4" t="n">
        <f aca="false">H23+($E$3/60)</f>
        <v>312.35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4.25" hidden="false" customHeight="false" outlineLevel="0" collapsed="false">
      <c r="B24" s="4" t="str">
        <f aca="false">B11</f>
        <v>Rot</v>
      </c>
      <c r="C24" s="4"/>
      <c r="D24" s="4" t="n">
        <v>667.82</v>
      </c>
      <c r="E24" s="4"/>
      <c r="F24" s="4" t="n">
        <v>312</v>
      </c>
      <c r="G24" s="4" t="n">
        <v>9</v>
      </c>
      <c r="H24" s="4" t="n">
        <f aca="false">F24+(G24/60)</f>
        <v>312.15</v>
      </c>
      <c r="I24" s="4"/>
      <c r="J24" s="4" t="n">
        <f aca="false">H24-($E$3/60)</f>
        <v>312.133333333333</v>
      </c>
      <c r="K24" s="4" t="n">
        <f aca="false">H24+($E$3/60)</f>
        <v>312.166666666667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4.25" hidden="false" customHeight="false" outlineLevel="0" collapsed="false">
      <c r="B25" s="4" t="str">
        <f aca="false">B12</f>
        <v>Gelb</v>
      </c>
      <c r="C25" s="4"/>
      <c r="D25" s="4" t="n">
        <v>587.56</v>
      </c>
      <c r="E25" s="4"/>
      <c r="F25" s="4" t="n">
        <v>311.5</v>
      </c>
      <c r="G25" s="4" t="n">
        <v>6</v>
      </c>
      <c r="H25" s="4" t="n">
        <f aca="false">F25+(G25/60)</f>
        <v>311.6</v>
      </c>
      <c r="I25" s="4"/>
      <c r="J25" s="4" t="n">
        <f aca="false">H25-($E$3/60)</f>
        <v>311.583333333333</v>
      </c>
      <c r="K25" s="4" t="n">
        <f aca="false">H25+($E$3/60)</f>
        <v>311.616666666667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customFormat="false" ht="14.25" hidden="false" customHeight="false" outlineLevel="0" collapsed="false">
      <c r="B26" s="4" t="str">
        <f aca="false">B13</f>
        <v>Grün</v>
      </c>
      <c r="C26" s="4"/>
      <c r="D26" s="4" t="n">
        <v>501.57</v>
      </c>
      <c r="E26" s="4"/>
      <c r="F26" s="4" t="n">
        <v>310.5</v>
      </c>
      <c r="G26" s="4" t="n">
        <v>10</v>
      </c>
      <c r="H26" s="4" t="n">
        <f aca="false">F26+(G26/60)</f>
        <v>310.666666666667</v>
      </c>
      <c r="I26" s="4"/>
      <c r="J26" s="4" t="n">
        <f aca="false">H26-($E$3/60)</f>
        <v>310.65</v>
      </c>
      <c r="K26" s="4" t="n">
        <f aca="false">H26+($E$3/60)</f>
        <v>310.683333333333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customFormat="false" ht="14.25" hidden="false" customHeight="false" outlineLevel="0" collapsed="false">
      <c r="B27" s="4" t="str">
        <f aca="false">B14</f>
        <v>Blaugrün</v>
      </c>
      <c r="C27" s="4"/>
      <c r="D27" s="4" t="n">
        <v>492.19</v>
      </c>
      <c r="E27" s="4"/>
      <c r="F27" s="4" t="n">
        <v>310.5</v>
      </c>
      <c r="G27" s="4" t="n">
        <v>2</v>
      </c>
      <c r="H27" s="4" t="n">
        <f aca="false">F27+(G27/60)</f>
        <v>310.533333333333</v>
      </c>
      <c r="I27" s="4"/>
      <c r="J27" s="4" t="n">
        <f aca="false">H27-($E$3/60)</f>
        <v>310.516666666667</v>
      </c>
      <c r="K27" s="4" t="n">
        <f aca="false">H27+($E$3/60)</f>
        <v>310.55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customFormat="false" ht="14.25" hidden="false" customHeight="false" outlineLevel="0" collapsed="false">
      <c r="B28" s="4" t="str">
        <f aca="false">B15</f>
        <v>Blau</v>
      </c>
      <c r="C28" s="4"/>
      <c r="D28" s="4" t="n">
        <v>447.15</v>
      </c>
      <c r="E28" s="4"/>
      <c r="F28" s="4" t="n">
        <v>310</v>
      </c>
      <c r="G28" s="4" t="n">
        <v>10</v>
      </c>
      <c r="H28" s="4" t="n">
        <f aca="false">F28+(G28/60)</f>
        <v>310.166666666667</v>
      </c>
      <c r="I28" s="4"/>
      <c r="J28" s="4" t="n">
        <f aca="false">H28-($E$3/60)</f>
        <v>310.15</v>
      </c>
      <c r="K28" s="4" t="n">
        <f aca="false">H28+($E$3/60)</f>
        <v>310.183333333333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customFormat="false" ht="14.25" hidden="false" customHeight="false" outlineLevel="0" collapsed="false">
      <c r="B29" s="4" t="str">
        <f aca="false">B16</f>
        <v>Violett</v>
      </c>
      <c r="C29" s="4"/>
      <c r="D29" s="4" t="n">
        <v>438.79</v>
      </c>
      <c r="E29" s="4"/>
      <c r="F29" s="4" t="n">
        <v>309.5</v>
      </c>
      <c r="G29" s="4" t="n">
        <v>10</v>
      </c>
      <c r="H29" s="4" t="n">
        <f aca="false">F29+(G29/60)</f>
        <v>309.666666666667</v>
      </c>
      <c r="I29" s="4"/>
      <c r="J29" s="4" t="n">
        <f aca="false">H29-($E$3/60)</f>
        <v>309.65</v>
      </c>
      <c r="K29" s="4" t="n">
        <f aca="false">H29+($E$3/60)</f>
        <v>309.683333333333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customFormat="false" ht="14.25" hidden="false" customHeight="false" outlineLevel="0" collapsed="false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customFormat="false" ht="14.25" hidden="false" customHeight="false" outlineLevel="0" collapsed="false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customFormat="false" ht="14.25" hidden="false" customHeight="false" outlineLevel="0" collapsed="false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customFormat="false" ht="14.25" hidden="false" customHeight="false" outlineLevel="0" collapsed="false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customFormat="false" ht="14.25" hidden="false" customHeight="false" outlineLevel="0" collapsed="false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customFormat="false" ht="14.25" hidden="false" customHeight="false" outlineLevel="0" collapsed="false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customFormat="false" ht="14.25" hidden="false" customHeight="false" outlineLevel="0" collapsed="false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customFormat="false" ht="14.25" hidden="false" customHeight="false" outlineLevel="0" collapsed="false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customFormat="false" ht="14.25" hidden="false" customHeight="false" outlineLevel="0" collapsed="false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customFormat="false" ht="14.25" hidden="false" customHeight="false" outlineLevel="0" collapsed="false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customFormat="false" ht="14.25" hidden="false" customHeight="false" outlineLevel="0" collapsed="false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customFormat="false" ht="14.25" hidden="false" customHeight="false" outlineLevel="0" collapsed="false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customFormat="false" ht="14.25" hidden="false" customHeight="false" outlineLevel="0" collapsed="false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customFormat="false" ht="14.25" hidden="false" customHeight="false" outlineLevel="0" collapsed="false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customFormat="false" ht="14.25" hidden="false" customHeight="false" outlineLevel="0" collapsed="false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customFormat="false" ht="14.25" hidden="false" customHeight="false" outlineLevel="0" collapsed="false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customFormat="false" ht="14.25" hidden="false" customHeight="false" outlineLevel="0" collapsed="false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M30"/>
  <sheetViews>
    <sheetView showFormulas="false" showGridLines="true" showRowColHeaders="true" showZeros="true" rightToLeft="false" tabSelected="false" showOutlineSymbols="true" defaultGridColor="true" view="normal" topLeftCell="A1" colorId="64" zoomScale="102" zoomScaleNormal="102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4" customFormat="false" ht="15" hidden="false" customHeight="false" outlineLevel="0" collapsed="false">
      <c r="B4" s="0" t="s">
        <v>26</v>
      </c>
      <c r="D4" s="0" t="s">
        <v>48</v>
      </c>
      <c r="F4" s="0" t="s">
        <v>49</v>
      </c>
      <c r="M4" s="0" t="s">
        <v>50</v>
      </c>
    </row>
    <row r="7" customFormat="false" ht="15" hidden="false" customHeight="false" outlineLevel="0" collapsed="false">
      <c r="B7" s="0" t="str">
        <f aca="false">'3.4.1'!B10</f>
        <v>Dunkelrot</v>
      </c>
      <c r="D7" s="0" t="n">
        <f aca="false">'3.4.1'!N10</f>
        <v>47.0083333333333</v>
      </c>
      <c r="F7" s="0" t="n">
        <f aca="false" t="array" ref="F7:F13">'3.4.2'!N10:N16</f>
        <v>312.35</v>
      </c>
      <c r="M7" s="0" t="n">
        <f aca="false">D7-(360-F7)</f>
        <v>-0.641666666666644</v>
      </c>
    </row>
    <row r="8" customFormat="false" ht="15" hidden="false" customHeight="false" outlineLevel="0" collapsed="false">
      <c r="B8" s="0" t="str">
        <f aca="false">'3.4.1'!B11</f>
        <v>Rot</v>
      </c>
      <c r="D8" s="0" t="n">
        <f aca="false">'3.4.1'!N11</f>
        <v>47.175</v>
      </c>
      <c r="F8" s="0" t="n">
        <v>312.15</v>
      </c>
      <c r="M8" s="0" t="n">
        <f aca="false">D8-(360-F8)</f>
        <v>-0.675000000000026</v>
      </c>
    </row>
    <row r="9" customFormat="false" ht="15" hidden="false" customHeight="false" outlineLevel="0" collapsed="false">
      <c r="B9" s="0" t="str">
        <f aca="false">'3.4.1'!B12</f>
        <v>Gelb</v>
      </c>
      <c r="D9" s="0" t="n">
        <f aca="false">'3.4.1'!N12</f>
        <v>47.725</v>
      </c>
      <c r="F9" s="0" t="n">
        <v>311.6</v>
      </c>
      <c r="M9" s="0" t="n">
        <f aca="false">D9-(360-F9)</f>
        <v>-0.674999999999976</v>
      </c>
    </row>
    <row r="10" customFormat="false" ht="15" hidden="false" customHeight="false" outlineLevel="0" collapsed="false">
      <c r="B10" s="0" t="str">
        <f aca="false">'3.4.1'!B13</f>
        <v>Grün</v>
      </c>
      <c r="D10" s="0" t="n">
        <f aca="false">'3.4.1'!N13</f>
        <v>48.65</v>
      </c>
      <c r="F10" s="0" t="n">
        <v>310.666666666667</v>
      </c>
      <c r="M10" s="0" t="n">
        <f aca="false">D10-(360-F10)</f>
        <v>-0.683333333333316</v>
      </c>
    </row>
    <row r="11" customFormat="false" ht="15" hidden="false" customHeight="false" outlineLevel="0" collapsed="false">
      <c r="B11" s="0" t="str">
        <f aca="false">'3.4.1'!B14</f>
        <v>Blaugrün</v>
      </c>
      <c r="D11" s="0" t="n">
        <f aca="false">'3.4.1'!N14</f>
        <v>48.7916666666667</v>
      </c>
      <c r="F11" s="0" t="n">
        <v>310.525</v>
      </c>
      <c r="M11" s="0" t="n">
        <f aca="false">D11-(360-F11)</f>
        <v>-0.683333333333358</v>
      </c>
    </row>
    <row r="12" customFormat="false" ht="15" hidden="false" customHeight="false" outlineLevel="0" collapsed="false">
      <c r="B12" s="0" t="str">
        <f aca="false">'3.4.1'!B15</f>
        <v>Blau</v>
      </c>
      <c r="D12" s="0" t="n">
        <f aca="false">'3.4.1'!N15</f>
        <v>49.1083333333333</v>
      </c>
      <c r="F12" s="0" t="n">
        <v>310.166666666667</v>
      </c>
      <c r="M12" s="0" t="n">
        <f aca="false">D12-(360-F12)</f>
        <v>-0.72499999999998</v>
      </c>
    </row>
    <row r="13" customFormat="false" ht="15" hidden="false" customHeight="false" outlineLevel="0" collapsed="false">
      <c r="B13" s="0" t="str">
        <f aca="false">'3.4.1'!B16</f>
        <v>Violett</v>
      </c>
      <c r="D13" s="0" t="n">
        <f aca="false">'3.4.1'!N16</f>
        <v>49.6</v>
      </c>
      <c r="F13" s="0" t="n">
        <v>309.666666666667</v>
      </c>
      <c r="M13" s="0" t="n">
        <f aca="false">D13-(360-F13)</f>
        <v>-0.733333333333313</v>
      </c>
    </row>
    <row r="17" customFormat="false" ht="15" hidden="false" customHeight="false" outlineLevel="0" collapsed="false">
      <c r="D17" s="3" t="s">
        <v>51</v>
      </c>
      <c r="F17" s="3" t="s">
        <v>52</v>
      </c>
      <c r="I17" s="0" t="s">
        <v>53</v>
      </c>
      <c r="L17" s="0" t="s">
        <v>54</v>
      </c>
    </row>
    <row r="19" customFormat="false" ht="15" hidden="false" customHeight="false" outlineLevel="0" collapsed="false">
      <c r="B19" s="4" t="str">
        <f aca="false">B7</f>
        <v>Dunkelrot</v>
      </c>
      <c r="D19" s="0" t="n">
        <f aca="false">'3.4.1'!U10</f>
        <v>46.5333333333333</v>
      </c>
      <c r="F19" s="0" t="n">
        <f aca="false">'3.4.2'!U10</f>
        <v>312.825</v>
      </c>
      <c r="I19" s="0" t="n">
        <f aca="false">D19-(360-F19)</f>
        <v>-0.641666666666644</v>
      </c>
      <c r="L19" s="0" t="n">
        <f aca="false">AVERAGE(I19:I25)</f>
        <v>-0.68809523809523</v>
      </c>
    </row>
    <row r="20" customFormat="false" ht="15" hidden="false" customHeight="false" outlineLevel="0" collapsed="false">
      <c r="B20" s="4" t="str">
        <f aca="false">B8</f>
        <v>Rot</v>
      </c>
      <c r="D20" s="0" t="n">
        <f aca="false">'3.4.1'!U11</f>
        <v>46.7</v>
      </c>
      <c r="F20" s="0" t="n">
        <f aca="false">'3.4.2'!U11</f>
        <v>312.625</v>
      </c>
      <c r="I20" s="0" t="n">
        <f aca="false">D20-(360-F20)</f>
        <v>-0.675000000000026</v>
      </c>
    </row>
    <row r="21" customFormat="false" ht="15" hidden="false" customHeight="false" outlineLevel="0" collapsed="false">
      <c r="B21" s="4" t="str">
        <f aca="false">B9</f>
        <v>Gelb</v>
      </c>
      <c r="D21" s="0" t="n">
        <f aca="false">'3.4.1'!U12</f>
        <v>47.25</v>
      </c>
      <c r="F21" s="0" t="n">
        <f aca="false">'3.4.2'!U12</f>
        <v>312.075</v>
      </c>
      <c r="I21" s="0" t="n">
        <f aca="false">D21-(360-F21)</f>
        <v>-0.674999999999976</v>
      </c>
    </row>
    <row r="22" customFormat="false" ht="15" hidden="false" customHeight="false" outlineLevel="0" collapsed="false">
      <c r="B22" s="4" t="str">
        <f aca="false">B10</f>
        <v>Grün</v>
      </c>
      <c r="D22" s="0" t="n">
        <f aca="false">'3.4.1'!U13</f>
        <v>48.175</v>
      </c>
      <c r="F22" s="0" t="n">
        <f aca="false">'3.4.2'!U13</f>
        <v>311.141666666667</v>
      </c>
      <c r="I22" s="0" t="n">
        <f aca="false">D22-(360-F22)</f>
        <v>-0.683333333333316</v>
      </c>
    </row>
    <row r="23" customFormat="false" ht="15" hidden="false" customHeight="false" outlineLevel="0" collapsed="false">
      <c r="B23" s="4" t="str">
        <f aca="false">B11</f>
        <v>Blaugrün</v>
      </c>
      <c r="D23" s="0" t="n">
        <f aca="false">'3.4.1'!U14</f>
        <v>48.3166666666666</v>
      </c>
      <c r="F23" s="0" t="n">
        <f aca="false">'3.4.2'!U14</f>
        <v>311</v>
      </c>
      <c r="I23" s="0" t="n">
        <f aca="false">D23-(360-F23)</f>
        <v>-0.683333333333358</v>
      </c>
    </row>
    <row r="24" customFormat="false" ht="15" hidden="false" customHeight="false" outlineLevel="0" collapsed="false">
      <c r="B24" s="4" t="str">
        <f aca="false">B12</f>
        <v>Blau</v>
      </c>
      <c r="D24" s="0" t="n">
        <f aca="false">'3.4.1'!U15</f>
        <v>48.6333333333333</v>
      </c>
      <c r="F24" s="0" t="n">
        <f aca="false">'3.4.2'!U15</f>
        <v>310.641666666667</v>
      </c>
      <c r="I24" s="0" t="n">
        <f aca="false">D24-(360-F24)</f>
        <v>-0.72499999999998</v>
      </c>
    </row>
    <row r="25" customFormat="false" ht="15" hidden="false" customHeight="false" outlineLevel="0" collapsed="false">
      <c r="B25" s="4" t="str">
        <f aca="false">B13</f>
        <v>Violett</v>
      </c>
      <c r="D25" s="0" t="n">
        <f aca="false">'3.4.1'!U16</f>
        <v>49.125</v>
      </c>
      <c r="F25" s="0" t="n">
        <f aca="false">'3.4.2'!U16</f>
        <v>310.141666666667</v>
      </c>
      <c r="I25" s="0" t="n">
        <f aca="false">D25-(360-F25)</f>
        <v>-0.733333333333313</v>
      </c>
    </row>
    <row r="26" customFormat="false" ht="15" hidden="false" customHeight="false" outlineLevel="0" collapsed="false">
      <c r="B26" s="4"/>
    </row>
    <row r="27" customFormat="false" ht="15" hidden="false" customHeight="false" outlineLevel="0" collapsed="false">
      <c r="B27" s="4"/>
    </row>
    <row r="28" customFormat="false" ht="15" hidden="false" customHeight="false" outlineLevel="0" collapsed="false">
      <c r="B28" s="4"/>
    </row>
    <row r="29" customFormat="false" ht="15" hidden="false" customHeight="false" outlineLevel="0" collapsed="false">
      <c r="B29" s="4"/>
    </row>
    <row r="30" customFormat="false" ht="15" hidden="false" customHeight="false" outlineLevel="0" collapsed="false">
      <c r="B30" s="4"/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de-DE</dc:language>
  <cp:lastModifiedBy/>
  <dcterms:modified xsi:type="dcterms:W3CDTF">2026-04-16T18:15:57Z</dcterms:modified>
  <cp:revision>3</cp:revision>
  <dc:subject/>
  <dc:title/>
</cp:coreProperties>
</file>