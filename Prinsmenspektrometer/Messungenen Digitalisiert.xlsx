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5" showHorizontalScroll="1" showVerticalScroll="1"/>
  </bookViews>
  <sheets>
    <sheet name="3.1" sheetId="1" state="visible" r:id="rId1"/>
    <sheet name="3.3" sheetId="2" state="visible" r:id="rId2"/>
    <sheet name="3.4.1" sheetId="3" state="visible" r:id="rId3"/>
    <sheet name="3.4.2" sheetId="4" state="visible" r:id="rId4"/>
    <sheet name="3.4.3" sheetId="5" state="visible" r:id="rId5"/>
    <sheet name="Protokoll" sheetId="6" state="visible" r:id="rId6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<sst xmlns="http://schemas.openxmlformats.org/spreadsheetml/2006/main" count="73" uniqueCount="73">
  <si>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 xml:space="preserve">Versuch 3.1</t>
  </si>
  <si>
    <t>Nr.</t>
  </si>
  <si>
    <t xml:space="preserve">Winkel 0,5°</t>
  </si>
  <si>
    <t xml:space="preserve">Winkel '(0-30)</t>
  </si>
  <si>
    <t xml:space="preserve">winkel in ° genau</t>
  </si>
  <si>
    <t>-Abw</t>
  </si>
  <si>
    <t xml:space="preserve">+ Abw</t>
  </si>
  <si>
    <t xml:space="preserve">Abw. Schnitt</t>
  </si>
  <si>
    <t>Korrektur</t>
  </si>
  <si>
    <t xml:space="preserve">Geschätzte Abweichung:  (')</t>
  </si>
  <si>
    <t xml:space="preserve">Abweichung in °</t>
  </si>
  <si>
    <t xml:space="preserve">Prisemnwinkel γ</t>
  </si>
  <si>
    <t xml:space="preserve">Abw kopie:</t>
  </si>
  <si>
    <t xml:space="preserve">𝜑1 (°)</t>
  </si>
  <si>
    <t xml:space="preserve">𝜑1 (')</t>
  </si>
  <si>
    <t xml:space="preserve">𝜑2 (°)</t>
  </si>
  <si>
    <t xml:space="preserve">𝜑2 (')</t>
  </si>
  <si>
    <t xml:space="preserve">Wert in ° genau</t>
  </si>
  <si>
    <t xml:space="preserve">Abw. -</t>
  </si>
  <si>
    <t xml:space="preserve">Abw. +</t>
  </si>
  <si>
    <t xml:space="preserve">𝜑1 ges.</t>
  </si>
  <si>
    <t xml:space="preserve">Mittelwert 𝜸</t>
  </si>
  <si>
    <t xml:space="preserve">nach Links</t>
  </si>
  <si>
    <t xml:space="preserve">Abw. Kopie:</t>
  </si>
  <si>
    <t>Korr.</t>
  </si>
  <si>
    <t xml:space="preserve">Negative abweichung von der kleineren zahl</t>
  </si>
  <si>
    <t xml:space="preserve">Messung 1</t>
  </si>
  <si>
    <t xml:space="preserve">Postivite vaweichung von der größeren</t>
  </si>
  <si>
    <t>Farbe</t>
  </si>
  <si>
    <t xml:space="preserve"> λ in nm</t>
  </si>
  <si>
    <t xml:space="preserve">W (°)</t>
  </si>
  <si>
    <t>W(')</t>
  </si>
  <si>
    <t>Wges</t>
  </si>
  <si>
    <t>W-Abw</t>
  </si>
  <si>
    <t>W+Abw</t>
  </si>
  <si>
    <t xml:space="preserve">Schnitt M1 &amp; M2</t>
  </si>
  <si>
    <t xml:space="preserve">neg. Abw</t>
  </si>
  <si>
    <t xml:space="preserve">pos. Abw</t>
  </si>
  <si>
    <t xml:space="preserve">Schnitt Korrigiert</t>
  </si>
  <si>
    <t>Dunkelrot</t>
  </si>
  <si>
    <t>Rot</t>
  </si>
  <si>
    <t>Gelb</t>
  </si>
  <si>
    <t>Grün</t>
  </si>
  <si>
    <t>Blaugrün</t>
  </si>
  <si>
    <t>Blau</t>
  </si>
  <si>
    <t>Violett</t>
  </si>
  <si>
    <t xml:space="preserve"> </t>
  </si>
  <si>
    <t xml:space="preserve">Messung 2</t>
  </si>
  <si>
    <t xml:space="preserve">nach Rechts</t>
  </si>
  <si>
    <t xml:space="preserve">Durchschnitt M1 &amp; M2</t>
  </si>
  <si>
    <t xml:space="preserve">Schnitte Links</t>
  </si>
  <si>
    <t xml:space="preserve">Schnitte Rechts</t>
  </si>
  <si>
    <t xml:space="preserve">Differenz (Betrag)</t>
  </si>
  <si>
    <t xml:space="preserve">Schnitte Links korr.</t>
  </si>
  <si>
    <t xml:space="preserve">Schnitte Rechts korr.</t>
  </si>
  <si>
    <t xml:space="preserve">Betr. Korrigiert</t>
  </si>
  <si>
    <t xml:space="preserve">Duchschnitt fehler in farben</t>
  </si>
  <si>
    <t>λ</t>
  </si>
  <si>
    <r>
      <rPr>
        <sz val="11"/>
        <color theme="1"/>
        <rFont val="Calibri"/>
      </rPr>
      <t>δ</t>
    </r>
    <r>
      <rPr>
        <sz val="8"/>
        <color theme="1"/>
        <rFont val="Calibri"/>
      </rPr>
      <t>min</t>
    </r>
  </si>
  <si>
    <t>n</t>
  </si>
  <si>
    <t>B</t>
  </si>
  <si>
    <t>A</t>
  </si>
  <si>
    <t>Glass</t>
  </si>
  <si>
    <t>A_glass</t>
  </si>
  <si>
    <t>B_glass</t>
  </si>
  <si>
    <t>Abweichung</t>
  </si>
  <si>
    <t>Quarzglas</t>
  </si>
  <si>
    <t xml:space="preserve">Borsilikatglas (BK7)</t>
  </si>
  <si>
    <t xml:space="preserve">Kronglas (K5)</t>
  </si>
  <si>
    <t xml:space="preserve">Barium-Kronglas (BaK4)</t>
  </si>
  <si>
    <t xml:space="preserve">Flintglas (F2)</t>
  </si>
  <si>
    <t xml:space="preserve">Barium-Flintglas (BaF10)</t>
  </si>
  <si>
    <t xml:space="preserve">dichtes Flintglas (SF10)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</si>
</sst>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sz val="10.000000"/>
      <name val="Arial"/>
    </font>
    <font>
      <sz val="11.000000"/>
      <color indexed="64"/>
      <name val="Liberation Serif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8">
    <xf fontId="0" fillId="0" borderId="0" numFmtId="0" xfId="0" applyProtection="0">
      <protection hidden="0" locked="1"/>
    </xf>
    <xf fontId="0" fillId="0" borderId="0" numFmtId="2" xfId="0" applyNumberFormat="1" applyProtection="0">
      <protection hidden="0" locked="1"/>
    </xf>
    <xf fontId="0" fillId="0" borderId="0" numFmtId="49" xfId="0" applyNumberFormat="1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0" numFmtId="0" xfId="0" applyFont="1" applyAlignment="1" applyProtection="0">
      <alignment horizontal="left" indent="3"/>
      <protection hidden="0" locked="1"/>
    </xf>
    <xf fontId="2" fillId="0" borderId="0" numFmtId="3" xfId="0" applyNumberFormat="1" applyFont="1" applyAlignment="1" applyProtection="0">
      <alignment horizontal="left" indent="3"/>
      <protection hidden="0" locked="1"/>
    </xf>
    <xf fontId="0" fillId="0" borderId="0" numFmtId="3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</a:rPr>
              <a:t>Schnitt &amp; Abw.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2259"/>
          <c:y val="0.018602"/>
          <c:w val="0.921403"/>
          <c:h val="0.861726"/>
        </c:manualLayout>
      </c:layout>
      <c:lineChart>
        <c:grouping val="standard"/>
        <c:varyColors val="0"/>
        <c:ser>
          <c:idx val="0"/>
          <c:order val="0"/>
          <c:tx>
            <c:strRef>
              <c:f>"Ø"</c:f>
              <c:strCache>
                <c:ptCount val="1"/>
                <c:pt idx="0">
                  <c:v>Ø</c:v>
                </c:pt>
              </c:strCache>
            </c:strRef>
          </c:tx>
          <c:spPr bwMode="auto">
            <a:prstGeom prst="rect">
              <a:avLst/>
            </a:prstGeom>
            <a:solidFill>
              <a:srgbClr val="5B9BD5"/>
            </a:solidFill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leaderLines>
              <c:spPr bwMode="auto">
                <a:prstGeom prst="rect">
                  <a:avLst/>
                </a:prstGeom>
                <a:ln w="28440" cap="rnd">
                  <a:solidFill>
                    <a:srgbClr val="000000"/>
                  </a:solidFill>
                </a:ln>
              </c:spPr>
            </c:leaderLine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u="none" strike="noStrike">
                    <a:latin typeface="Arial"/>
                  </a:defRPr>
                </a:pPr>
                <a:endParaRPr/>
              </a:p>
            </c:txPr>
          </c:dLbls>
          <c:cat>
            <c:strRef>
              <c:f>'3.4.1'!$B$10:$B$16</c:f>
              <c:strCache>
                <c:ptCount val="7"/>
                <c:pt idx="0">
                  <c:v>Dunkelrot</c:v>
                </c:pt>
                <c:pt idx="1">
                  <c:v>Rot</c:v>
                </c:pt>
                <c:pt idx="2">
                  <c:v>Gelb</c:v>
                </c:pt>
                <c:pt idx="3">
                  <c:v>Grün</c:v>
                </c:pt>
                <c:pt idx="4">
                  <c:v>Blaugrün</c:v>
                </c:pt>
                <c:pt idx="5">
                  <c:v>Blau</c:v>
                </c:pt>
                <c:pt idx="6">
                  <c:v>Violett</c:v>
                </c:pt>
              </c:strCache>
            </c:strRef>
          </c:cat>
          <c:val>
            <c:numRef>
              <c:f>'3.4.1'!$N$10:$N$16</c:f>
              <c:numCache>
                <c:formatCode>General</c:formatCode>
                <c:ptCount val="7"/>
                <c:pt idx="0">
                  <c:v>47.0083333333333</c:v>
                </c:pt>
                <c:pt idx="1">
                  <c:v>47.175</c:v>
                </c:pt>
                <c:pt idx="2">
                  <c:v>47.725</c:v>
                </c:pt>
                <c:pt idx="3">
                  <c:v>48.65</c:v>
                </c:pt>
                <c:pt idx="4">
                  <c:v>48.7916666666667</c:v>
                </c:pt>
                <c:pt idx="5">
                  <c:v>49.1083333333333</c:v>
                </c:pt>
                <c:pt idx="6">
                  <c:v>49.6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"Ø - Abw"</c:f>
              <c:strCache>
                <c:ptCount val="1"/>
                <c:pt idx="0">
                  <c:v>Ø - Abw</c:v>
                </c:pt>
              </c:strCache>
            </c:strRef>
          </c:tx>
          <c:spPr bwMode="auto">
            <a:prstGeom prst="rect">
              <a:avLst/>
            </a:prstGeom>
            <a:solidFill>
              <a:srgbClr val="ED7D31"/>
            </a:solidFill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leaderLines>
              <c:spPr bwMode="auto">
                <a:prstGeom prst="rect">
                  <a:avLst/>
                </a:prstGeom>
                <a:ln w="28440" cap="rnd">
                  <a:solidFill>
                    <a:srgbClr val="000000"/>
                  </a:solidFill>
                </a:ln>
              </c:spPr>
            </c:leaderLine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u="none" strike="noStrike">
                    <a:latin typeface="Arial"/>
                  </a:defRPr>
                </a:pPr>
                <a:endParaRPr/>
              </a:p>
            </c:txPr>
          </c:dLbls>
          <c:cat>
            <c:strRef>
              <c:f>'3.4.1'!$B$10:$B$16</c:f>
              <c:strCache>
                <c:ptCount val="7"/>
                <c:pt idx="0">
                  <c:v>Dunkelrot</c:v>
                </c:pt>
                <c:pt idx="1">
                  <c:v>Rot</c:v>
                </c:pt>
                <c:pt idx="2">
                  <c:v>Gelb</c:v>
                </c:pt>
                <c:pt idx="3">
                  <c:v>Grün</c:v>
                </c:pt>
                <c:pt idx="4">
                  <c:v>Blaugrün</c:v>
                </c:pt>
                <c:pt idx="5">
                  <c:v>Blau</c:v>
                </c:pt>
                <c:pt idx="6">
                  <c:v>Violett</c:v>
                </c:pt>
              </c:strCache>
            </c:strRef>
          </c:cat>
          <c:val>
            <c:numRef>
              <c:f>'3.4.1'!$Q$10:$Q$16</c:f>
              <c:numCache>
                <c:formatCode>General</c:formatCode>
                <c:ptCount val="7"/>
                <c:pt idx="0">
                  <c:v>46.9833333333333</c:v>
                </c:pt>
                <c:pt idx="1">
                  <c:v>47.15</c:v>
                </c:pt>
                <c:pt idx="2">
                  <c:v>47.6833333333333</c:v>
                </c:pt>
                <c:pt idx="3">
                  <c:v>48.6333333333333</c:v>
                </c:pt>
                <c:pt idx="4">
                  <c:v>48.7666666666667</c:v>
                </c:pt>
                <c:pt idx="5">
                  <c:v>49.0833333333333</c:v>
                </c:pt>
                <c:pt idx="6">
                  <c:v>49.5666666666667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"Ø + Abw"</c:f>
              <c:strCache>
                <c:ptCount val="1"/>
                <c:pt idx="0">
                  <c:v>Ø + Abw</c:v>
                </c:pt>
              </c:strCache>
            </c:strRef>
          </c:tx>
          <c:spPr bwMode="auto">
            <a:prstGeom prst="rect">
              <a:avLst/>
            </a:prstGeom>
            <a:solidFill>
              <a:srgbClr val="A5A5A5"/>
            </a:solidFill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leaderLines>
              <c:spPr bwMode="auto">
                <a:prstGeom prst="rect">
                  <a:avLst/>
                </a:prstGeom>
                <a:ln w="28440" cap="rnd">
                  <a:solidFill>
                    <a:srgbClr val="000000"/>
                  </a:solidFill>
                </a:ln>
              </c:spPr>
            </c:leaderLine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u="none" strike="noStrike">
                    <a:latin typeface="Arial"/>
                  </a:defRPr>
                </a:pPr>
                <a:endParaRPr/>
              </a:p>
            </c:txPr>
          </c:dLbls>
          <c:cat>
            <c:strRef>
              <c:f>'3.4.1'!$B$10:$B$16</c:f>
              <c:strCache>
                <c:ptCount val="7"/>
                <c:pt idx="0">
                  <c:v>Dunkelrot</c:v>
                </c:pt>
                <c:pt idx="1">
                  <c:v>Rot</c:v>
                </c:pt>
                <c:pt idx="2">
                  <c:v>Gelb</c:v>
                </c:pt>
                <c:pt idx="3">
                  <c:v>Grün</c:v>
                </c:pt>
                <c:pt idx="4">
                  <c:v>Blaugrün</c:v>
                </c:pt>
                <c:pt idx="5">
                  <c:v>Blau</c:v>
                </c:pt>
                <c:pt idx="6">
                  <c:v>Violett</c:v>
                </c:pt>
              </c:strCache>
            </c:strRef>
          </c:cat>
          <c:val>
            <c:numRef>
              <c:f>'3.4.1'!$S$10:$S$16</c:f>
              <c:numCache>
                <c:formatCode>General</c:formatCode>
                <c:ptCount val="7"/>
                <c:pt idx="0">
                  <c:v>47.0333333333333</c:v>
                </c:pt>
                <c:pt idx="1">
                  <c:v>47.2</c:v>
                </c:pt>
                <c:pt idx="2">
                  <c:v>47.7666666666667</c:v>
                </c:pt>
                <c:pt idx="3">
                  <c:v>48.6666666666667</c:v>
                </c:pt>
                <c:pt idx="4">
                  <c:v>48.8166666666667</c:v>
                </c:pt>
                <c:pt idx="5">
                  <c:v>49.1333333333333</c:v>
                </c:pt>
                <c:pt idx="6">
                  <c:v>49.6333333333333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44079618"/>
        <c:axId val="53467223"/>
      </c:lineChart>
      <c:catAx>
        <c:axId val="44079618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</a:defRPr>
            </a:pPr>
            <a:endParaRPr/>
          </a:p>
        </c:txPr>
        <c:crossAx val="53467223"/>
        <c:crosses val="autoZero"/>
        <c:auto val="1"/>
        <c:lblAlgn val="ctr"/>
        <c:lblOffset val="100"/>
        <c:noMultiLvlLbl val="0"/>
      </c:catAx>
      <c:valAx>
        <c:axId val="53467223"/>
        <c:scaling>
          <c:orientation val="minMax"/>
          <c:max val="49.700000"/>
          <c:min val="46.700000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</a:defRPr>
            </a:pPr>
            <a:endParaRPr/>
          </a:p>
        </c:txPr>
        <c:crossAx val="44079618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Arial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7804800" y="3149280"/>
      <a:ext cx="6169320" cy="4779720"/>
    </a:xfrm>
    <a:prstGeom prst="rect">
      <a:avLst/>
    </a:prstGeom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</a:rPr>
              <a:t>Schnitt &amp; Abw.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2296"/>
          <c:y val="0.018597"/>
          <c:w val="0.921372"/>
          <c:h val="0.861768"/>
        </c:manualLayout>
      </c:layout>
      <c:lineChart>
        <c:grouping val="standard"/>
        <c:varyColors val="0"/>
        <c:ser>
          <c:idx val="0"/>
          <c:order val="0"/>
          <c:tx>
            <c:strRef>
              <c:f>"Ø"</c:f>
              <c:strCache>
                <c:ptCount val="1"/>
                <c:pt idx="0">
                  <c:v>Ø</c:v>
                </c:pt>
              </c:strCache>
            </c:strRef>
          </c:tx>
          <c:spPr bwMode="auto">
            <a:prstGeom prst="rect">
              <a:avLst/>
            </a:prstGeom>
            <a:solidFill>
              <a:srgbClr val="ED7D31"/>
            </a:solidFill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leaderLines>
              <c:spPr bwMode="auto">
                <a:prstGeom prst="rect">
                  <a:avLst/>
                </a:prstGeom>
                <a:ln w="28440" cap="rnd">
                  <a:solidFill>
                    <a:srgbClr val="000000"/>
                  </a:solidFill>
                </a:ln>
              </c:spPr>
            </c:leaderLine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u="none" strike="noStrike">
                    <a:latin typeface="Arial"/>
                  </a:defRPr>
                </a:pPr>
                <a:endParaRPr/>
              </a:p>
            </c:txPr>
          </c:dLbls>
          <c:cat>
            <c:strRef>
              <c:f>'3.4.2'!$B$10:$B$16</c:f>
              <c:strCache>
                <c:ptCount val="7"/>
                <c:pt idx="0">
                  <c:v>Dunkelrot</c:v>
                </c:pt>
                <c:pt idx="1">
                  <c:v>Rot</c:v>
                </c:pt>
                <c:pt idx="2">
                  <c:v>Gelb</c:v>
                </c:pt>
                <c:pt idx="3">
                  <c:v>Grün</c:v>
                </c:pt>
                <c:pt idx="4">
                  <c:v>Blaugrün</c:v>
                </c:pt>
                <c:pt idx="5">
                  <c:v>Blau</c:v>
                </c:pt>
                <c:pt idx="6">
                  <c:v>Violett</c:v>
                </c:pt>
              </c:strCache>
            </c:strRef>
          </c:cat>
          <c:val>
            <c:numRef>
              <c:f>'3.4.2'!$N$10:$N$16</c:f>
              <c:numCache>
                <c:formatCode>General</c:formatCode>
                <c:ptCount val="7"/>
                <c:pt idx="0">
                  <c:v>312.35</c:v>
                </c:pt>
                <c:pt idx="1">
                  <c:v>312.15</c:v>
                </c:pt>
                <c:pt idx="2">
                  <c:v>311.6</c:v>
                </c:pt>
                <c:pt idx="3">
                  <c:v>310.666666666667</c:v>
                </c:pt>
                <c:pt idx="4">
                  <c:v>310.525</c:v>
                </c:pt>
                <c:pt idx="5">
                  <c:v>310.166666666667</c:v>
                </c:pt>
                <c:pt idx="6">
                  <c:v>309.666666666667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"Ø - Abw"</c:f>
              <c:strCache>
                <c:ptCount val="1"/>
                <c:pt idx="0">
                  <c:v>Ø - Abw</c:v>
                </c:pt>
              </c:strCache>
            </c:strRef>
          </c:tx>
          <c:spPr bwMode="auto">
            <a:prstGeom prst="rect">
              <a:avLst/>
            </a:prstGeom>
            <a:solidFill>
              <a:srgbClr val="5B9BD5"/>
            </a:solidFill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dLblPos val="r"/>
            <c:leaderLines>
              <c:spPr bwMode="auto">
                <a:prstGeom prst="rect">
                  <a:avLst/>
                </a:prstGeom>
                <a:ln w="28440" cap="rnd">
                  <a:solidFill>
                    <a:srgbClr val="000000"/>
                  </a:solidFill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Arial"/>
                  </a:defRPr>
                </a:pPr>
                <a:endParaRPr/>
              </a:p>
            </c:txPr>
          </c:dLbls>
          <c:cat>
            <c:strRef>
              <c:f>'3.4.2'!$B$10:$B$16</c:f>
              <c:strCache>
                <c:ptCount val="7"/>
                <c:pt idx="0">
                  <c:v>Dunkelrot</c:v>
                </c:pt>
                <c:pt idx="1">
                  <c:v>Rot</c:v>
                </c:pt>
                <c:pt idx="2">
                  <c:v>Gelb</c:v>
                </c:pt>
                <c:pt idx="3">
                  <c:v>Grün</c:v>
                </c:pt>
                <c:pt idx="4">
                  <c:v>Blaugrün</c:v>
                </c:pt>
                <c:pt idx="5">
                  <c:v>Blau</c:v>
                </c:pt>
                <c:pt idx="6">
                  <c:v>Violett</c:v>
                </c:pt>
              </c:strCache>
            </c:strRef>
          </c:cat>
          <c:val>
            <c:numRef>
              <c:f>'3.4.2'!$Q$10:$Q$16</c:f>
              <c:numCache>
                <c:formatCode>General</c:formatCode>
                <c:ptCount val="7"/>
                <c:pt idx="0">
                  <c:v>312.316666666667</c:v>
                </c:pt>
                <c:pt idx="1">
                  <c:v>312.133333333333</c:v>
                </c:pt>
                <c:pt idx="2">
                  <c:v>311.583333333333</c:v>
                </c:pt>
                <c:pt idx="3">
                  <c:v>310.65</c:v>
                </c:pt>
                <c:pt idx="4">
                  <c:v>310.5</c:v>
                </c:pt>
                <c:pt idx="5">
                  <c:v>310.15</c:v>
                </c:pt>
                <c:pt idx="6">
                  <c:v>309.65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"Ø + Abw"</c:f>
              <c:strCache>
                <c:ptCount val="1"/>
                <c:pt idx="0">
                  <c:v>Ø + Abw</c:v>
                </c:pt>
              </c:strCache>
            </c:strRef>
          </c:tx>
          <c:spPr bwMode="auto">
            <a:prstGeom prst="rect">
              <a:avLst/>
            </a:prstGeom>
            <a:solidFill>
              <a:srgbClr val="A5A5A5"/>
            </a:solidFill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dLblPos val="r"/>
            <c:leaderLines>
              <c:spPr bwMode="auto">
                <a:prstGeom prst="rect">
                  <a:avLst/>
                </a:prstGeom>
                <a:ln w="28440" cap="rnd">
                  <a:solidFill>
                    <a:srgbClr val="000000"/>
                  </a:solidFill>
                </a:ln>
              </c:spPr>
            </c:leaderLines>
            <c:separator xml:space="preserve">;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Arial"/>
                  </a:defRPr>
                </a:pPr>
                <a:endParaRPr/>
              </a:p>
            </c:txPr>
          </c:dLbls>
          <c:cat>
            <c:strRef>
              <c:f>'3.4.2'!$B$10:$B$16</c:f>
              <c:strCache>
                <c:ptCount val="7"/>
                <c:pt idx="0">
                  <c:v>Dunkelrot</c:v>
                </c:pt>
                <c:pt idx="1">
                  <c:v>Rot</c:v>
                </c:pt>
                <c:pt idx="2">
                  <c:v>Gelb</c:v>
                </c:pt>
                <c:pt idx="3">
                  <c:v>Grün</c:v>
                </c:pt>
                <c:pt idx="4">
                  <c:v>Blaugrün</c:v>
                </c:pt>
                <c:pt idx="5">
                  <c:v>Blau</c:v>
                </c:pt>
                <c:pt idx="6">
                  <c:v>Violett</c:v>
                </c:pt>
              </c:strCache>
            </c:strRef>
          </c:cat>
          <c:val>
            <c:numRef>
              <c:f>'3.4.2'!$S$10:$S$16</c:f>
              <c:numCache>
                <c:formatCode>General</c:formatCode>
                <c:ptCount val="7"/>
                <c:pt idx="0">
                  <c:v>312.383333333333</c:v>
                </c:pt>
                <c:pt idx="1">
                  <c:v>312.166666666667</c:v>
                </c:pt>
                <c:pt idx="2">
                  <c:v>311.616666666667</c:v>
                </c:pt>
                <c:pt idx="3">
                  <c:v>310.683333333333</c:v>
                </c:pt>
                <c:pt idx="4">
                  <c:v>310.55</c:v>
                </c:pt>
                <c:pt idx="5">
                  <c:v>310.183333333333</c:v>
                </c:pt>
                <c:pt idx="6">
                  <c:v>309.683333333333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72002339"/>
        <c:axId val="37973536"/>
      </c:lineChart>
      <c:catAx>
        <c:axId val="72002339"/>
        <c:scaling>
          <c:orientation val="minMax"/>
        </c:scaling>
        <c:delete val="0"/>
        <c:axPos val="b"/>
        <c:numFmt formatCode="General" sourceLinked="0"/>
        <c:majorTickMark val="none"/>
        <c:minorTickMark val="out"/>
        <c:tickLblPos val="nextTo"/>
        <c:spPr bwMode="auto">
          <a:prstGeom prst="rect">
            <a:avLst/>
          </a:prstGeom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</a:defRPr>
            </a:pPr>
            <a:endParaRPr/>
          </a:p>
        </c:txPr>
        <c:crossAx val="37973536"/>
        <c:crosses val="autoZero"/>
        <c:auto val="1"/>
        <c:lblAlgn val="ctr"/>
        <c:lblOffset val="100"/>
        <c:noMultiLvlLbl val="0"/>
      </c:catAx>
      <c:valAx>
        <c:axId val="3797353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</a:defRPr>
            </a:pPr>
            <a:endParaRPr/>
          </a:p>
        </c:txPr>
        <c:crossAx val="72002339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Arial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7336080" y="3436920"/>
      <a:ext cx="6171480" cy="4781160"/>
    </a:xfrm>
    <a:prstGeom prst="rect">
      <a:avLst/>
    </a:prstGeom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b="0" u="none" strike="noStrike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  <cs:dataPointMarkerLayout/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b="0" u="none" strike="noStrike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  <cs:dataPointMarkerLayout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12</xdr:col>
      <xdr:colOff>121320</xdr:colOff>
      <xdr:row>17</xdr:row>
      <xdr:rowOff>72720</xdr:rowOff>
    </xdr:from>
    <xdr:to>
      <xdr:col>22</xdr:col>
      <xdr:colOff>175680</xdr:colOff>
      <xdr:row>43</xdr:row>
      <xdr:rowOff>147240</xdr:rowOff>
    </xdr:to>
    <xdr:graphicFrame>
      <xdr:nvGraphicFramePr>
        <xdr:cNvPr id="1" name=""/>
        <xdr:cNvGraphicFramePr>
          <a:graphicFrameLocks xmlns:a="http://schemas.openxmlformats.org/drawingml/2006/main"/>
        </xdr:cNvGraphicFramePr>
      </xdr:nvGraphicFramePr>
      <xdr:xfrm rot="0">
        <a:off x="7804800" y="3149280"/>
        <a:ext cx="6169320" cy="477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11</xdr:col>
      <xdr:colOff>609480</xdr:colOff>
      <xdr:row>18</xdr:row>
      <xdr:rowOff>179280</xdr:rowOff>
    </xdr:from>
    <xdr:to>
      <xdr:col>22</xdr:col>
      <xdr:colOff>54360</xdr:colOff>
      <xdr:row>45</xdr:row>
      <xdr:rowOff>74160</xdr:rowOff>
    </xdr:to>
    <xdr:graphicFrame>
      <xdr:nvGraphicFramePr>
        <xdr:cNvPr id="2" name=""/>
        <xdr:cNvGraphicFramePr>
          <a:graphicFrameLocks xmlns:a="http://schemas.openxmlformats.org/drawingml/2006/main"/>
        </xdr:cNvGraphicFramePr>
      </xdr:nvGraphicFramePr>
      <xdr:xfrm rot="0">
        <a:off x="7336080" y="3436920"/>
        <a:ext cx="6171480" cy="478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2" workbookViewId="0">
      <selection activeCell="G38" activeCellId="0" sqref="G38"/>
    </sheetView>
  </sheetViews>
  <sheetFormatPr defaultColWidth="8.6796875" defaultRowHeight="14.25"/>
  <cols>
    <col customWidth="1" min="4" max="4" style="0" width="13.15"/>
  </cols>
  <sheetData>
    <row r="2" ht="14.25">
      <c r="B2" t="s">
        <v>0</v>
      </c>
    </row>
    <row r="5" ht="14.25">
      <c r="B5" s="1" t="s">
        <v>1</v>
      </c>
      <c r="C5" s="1"/>
      <c r="D5" s="1" t="s">
        <v>2</v>
      </c>
      <c r="E5" s="1" t="s">
        <v>3</v>
      </c>
      <c r="F5" s="1"/>
      <c r="G5" s="1" t="s">
        <v>4</v>
      </c>
      <c r="I5" s="2" t="s">
        <v>5</v>
      </c>
      <c r="K5" s="2" t="s">
        <v>6</v>
      </c>
      <c r="M5" t="s">
        <v>7</v>
      </c>
      <c r="O5" t="s">
        <v>8</v>
      </c>
    </row>
    <row r="6" ht="14.25">
      <c r="B6" s="1"/>
      <c r="C6" s="1"/>
      <c r="D6" s="1"/>
      <c r="E6" s="1"/>
      <c r="F6" s="1"/>
      <c r="G6" s="1"/>
    </row>
    <row r="7" ht="14.25">
      <c r="B7" s="1">
        <v>1</v>
      </c>
      <c r="C7" s="1"/>
      <c r="D7">
        <v>359.5</v>
      </c>
      <c r="E7">
        <v>2</v>
      </c>
      <c r="G7">
        <f t="shared" ref="G7:G8" si="0">D7+(E7/60)</f>
        <v>359.53333333333302</v>
      </c>
      <c r="I7">
        <f t="shared" ref="I7:I8" si="1">G7-(1/60)</f>
        <v>359.51666666666699</v>
      </c>
      <c r="K7">
        <f t="shared" ref="K7:K8" si="2">G7+(1/60)</f>
        <v>359.55000000000001</v>
      </c>
      <c r="M7">
        <f>AVERAGE(G7,G8)</f>
        <v>359.52499999999998</v>
      </c>
      <c r="O7">
        <f>M7-360</f>
        <v>-0.47500000000002301</v>
      </c>
    </row>
    <row r="8" ht="14.25">
      <c r="B8" s="1">
        <v>1</v>
      </c>
      <c r="C8" s="1"/>
      <c r="D8">
        <v>359.5</v>
      </c>
      <c r="E8">
        <v>1</v>
      </c>
      <c r="G8">
        <f t="shared" si="0"/>
        <v>359.51666666666699</v>
      </c>
      <c r="I8">
        <f t="shared" si="1"/>
        <v>359.5</v>
      </c>
      <c r="K8">
        <f t="shared" si="2"/>
        <v>359.53333333333302</v>
      </c>
    </row>
    <row r="11" ht="14.25">
      <c r="B11" t="s">
        <v>9</v>
      </c>
      <c r="E11">
        <v>1</v>
      </c>
    </row>
    <row r="12" ht="14.25">
      <c r="B12" t="s">
        <v>10</v>
      </c>
      <c r="E12">
        <f>E11/60</f>
        <v>0.016666666666666666</v>
      </c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2" workbookViewId="0">
      <selection activeCell="A1" activeCellId="0" sqref="A1"/>
    </sheetView>
  </sheetViews>
  <sheetFormatPr defaultColWidth="8.6796875" defaultRowHeight="14.25"/>
  <sheetData>
    <row r="4" ht="14.25">
      <c r="C4" t="s">
        <v>11</v>
      </c>
      <c r="J4" t="s">
        <v>12</v>
      </c>
      <c r="L4">
        <f>'3.1'!O7</f>
        <v>-0.47500000000002301</v>
      </c>
    </row>
    <row r="6" ht="14.25">
      <c r="C6" s="3" t="s">
        <v>13</v>
      </c>
      <c r="D6" s="3" t="s">
        <v>14</v>
      </c>
      <c r="F6" s="3" t="s">
        <v>15</v>
      </c>
      <c r="G6" s="3" t="s">
        <v>16</v>
      </c>
    </row>
    <row r="8" ht="14.25">
      <c r="C8">
        <v>253.5</v>
      </c>
      <c r="D8">
        <v>4</v>
      </c>
      <c r="F8">
        <v>313.5</v>
      </c>
      <c r="G8">
        <v>3</v>
      </c>
      <c r="L8">
        <f>1/60</f>
        <v>0.016666666666666666</v>
      </c>
    </row>
    <row r="12" ht="14.25">
      <c r="D12" t="s">
        <v>17</v>
      </c>
      <c r="F12" t="s">
        <v>18</v>
      </c>
      <c r="H12" t="s">
        <v>19</v>
      </c>
    </row>
    <row r="14" ht="14.25">
      <c r="C14" s="3" t="s">
        <v>20</v>
      </c>
      <c r="D14">
        <f>C8+(D8/60)</f>
        <v>253.566666666667</v>
      </c>
      <c r="F14">
        <f>D14+($L$4)</f>
        <v>253.09166666666698</v>
      </c>
      <c r="H14">
        <f>D14-($L$4)</f>
        <v>254.04166666666703</v>
      </c>
    </row>
    <row r="15" ht="14.25">
      <c r="C15" s="3"/>
    </row>
    <row r="16" ht="14.25">
      <c r="C16" s="3" t="s">
        <v>20</v>
      </c>
      <c r="D16">
        <f>F8+(G8/60)</f>
        <v>313.55000000000001</v>
      </c>
      <c r="F16">
        <f>D16+($L$4)</f>
        <v>313.07499999999999</v>
      </c>
      <c r="H16">
        <f>D16-($L$4)</f>
        <v>314.02500000000003</v>
      </c>
    </row>
    <row r="19" ht="14.25">
      <c r="C19" t="s">
        <v>21</v>
      </c>
    </row>
    <row r="22" ht="14.25">
      <c r="C22" s="3">
        <f>(D14-D16)/2</f>
        <v>-29.991666666666504</v>
      </c>
      <c r="D22">
        <f>C22*2</f>
        <v>-59.983333333333007</v>
      </c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3" zoomScale="102" workbookViewId="0">
      <selection activeCell="W30" activeCellId="0" sqref="W30"/>
    </sheetView>
  </sheetViews>
  <sheetFormatPr defaultColWidth="8.6796875" defaultRowHeight="14.25"/>
  <cols>
    <col customWidth="1" min="4" max="4" style="0" width="13.58"/>
  </cols>
  <sheetData>
    <row r="3" ht="14.25">
      <c r="B3" t="s">
        <v>22</v>
      </c>
      <c r="D3" t="s">
        <v>23</v>
      </c>
      <c r="E3">
        <f>'3.1'!E11</f>
        <v>1</v>
      </c>
    </row>
    <row r="4" ht="14.25">
      <c r="D4" t="s">
        <v>24</v>
      </c>
      <c r="E4">
        <f>'3.1'!O7</f>
        <v>-0.47500000000002301</v>
      </c>
      <c r="Q4" t="s">
        <v>25</v>
      </c>
    </row>
    <row r="6" ht="14.25">
      <c r="B6" t="s">
        <v>26</v>
      </c>
      <c r="Q6" t="s">
        <v>27</v>
      </c>
    </row>
    <row r="8" ht="14.25">
      <c r="B8" t="s">
        <v>28</v>
      </c>
      <c r="D8" s="3" t="s">
        <v>29</v>
      </c>
      <c r="F8" t="s">
        <v>30</v>
      </c>
      <c r="G8" t="s">
        <v>31</v>
      </c>
      <c r="H8" t="s">
        <v>32</v>
      </c>
      <c r="J8" t="s">
        <v>33</v>
      </c>
      <c r="K8" t="s">
        <v>34</v>
      </c>
      <c r="N8" t="s">
        <v>35</v>
      </c>
      <c r="Q8" t="s">
        <v>36</v>
      </c>
      <c r="S8" t="s">
        <v>37</v>
      </c>
      <c r="U8" t="s">
        <v>38</v>
      </c>
    </row>
    <row r="10" ht="14.25">
      <c r="B10" t="s">
        <v>39</v>
      </c>
      <c r="D10">
        <v>706.53999999999996</v>
      </c>
      <c r="F10">
        <v>47</v>
      </c>
      <c r="G10">
        <v>1</v>
      </c>
      <c r="H10">
        <f t="shared" ref="H10:H29" si="3">F10+(G10/60)</f>
        <v>47.016666666666701</v>
      </c>
      <c r="J10">
        <f t="shared" ref="J10:J29" si="4">H10-($E$3/60)</f>
        <v>47</v>
      </c>
      <c r="K10">
        <f t="shared" ref="K10:K29" si="5">H10+($E$3/60)</f>
        <v>47.033333333333303</v>
      </c>
      <c r="N10">
        <f t="shared" ref="N10:N16" si="6">AVERAGE(H10,H23)</f>
        <v>47.008333333333297</v>
      </c>
      <c r="Q10">
        <f t="shared" ref="Q10:Q11" si="7">H23-($E$3/60)</f>
        <v>46.983333333333299</v>
      </c>
      <c r="S10">
        <f t="shared" ref="S10:S11" si="8">H10+($E$3/60)</f>
        <v>47.033333333333303</v>
      </c>
      <c r="U10">
        <f t="shared" ref="U10:U16" si="9">N10+$E$4</f>
        <v>46.533333333333303</v>
      </c>
    </row>
    <row r="11" ht="14.25">
      <c r="B11" t="s">
        <v>40</v>
      </c>
      <c r="D11">
        <v>667.82000000000005</v>
      </c>
      <c r="F11">
        <v>47</v>
      </c>
      <c r="G11">
        <v>11</v>
      </c>
      <c r="H11">
        <f t="shared" si="3"/>
        <v>47.183333333333302</v>
      </c>
      <c r="J11">
        <f t="shared" si="4"/>
        <v>47.1666666666667</v>
      </c>
      <c r="K11">
        <f t="shared" si="5"/>
        <v>47.200000000000003</v>
      </c>
      <c r="N11">
        <f t="shared" si="6"/>
        <v>47.174999999999997</v>
      </c>
      <c r="Q11">
        <f t="shared" si="7"/>
        <v>47.149999999999999</v>
      </c>
      <c r="S11">
        <f t="shared" si="8"/>
        <v>47.200000000000003</v>
      </c>
      <c r="U11">
        <f t="shared" si="9"/>
        <v>46.700000000000003</v>
      </c>
    </row>
    <row r="12" ht="14.25">
      <c r="B12" t="s">
        <v>41</v>
      </c>
      <c r="D12">
        <v>587.55999999999995</v>
      </c>
      <c r="F12">
        <v>47.5</v>
      </c>
      <c r="G12">
        <v>12</v>
      </c>
      <c r="H12">
        <f t="shared" si="3"/>
        <v>47.700000000000003</v>
      </c>
      <c r="J12">
        <f t="shared" si="4"/>
        <v>47.683333333333302</v>
      </c>
      <c r="K12">
        <f t="shared" si="5"/>
        <v>47.716666666666697</v>
      </c>
      <c r="N12">
        <f t="shared" si="6"/>
        <v>47.725000000000001</v>
      </c>
      <c r="Q12">
        <f>H12-($E$3/60)</f>
        <v>47.683333333333302</v>
      </c>
      <c r="S12">
        <f>H25+($E$3/60)</f>
        <v>47.766666666666701</v>
      </c>
      <c r="U12">
        <f t="shared" si="9"/>
        <v>47.25</v>
      </c>
    </row>
    <row r="13" ht="14.25">
      <c r="B13" t="s">
        <v>42</v>
      </c>
      <c r="D13">
        <v>501.56999999999999</v>
      </c>
      <c r="F13">
        <v>48.5</v>
      </c>
      <c r="G13">
        <v>9</v>
      </c>
      <c r="H13">
        <f t="shared" si="3"/>
        <v>48.649999999999999</v>
      </c>
      <c r="J13">
        <f t="shared" si="4"/>
        <v>48.633333333333297</v>
      </c>
      <c r="K13">
        <f t="shared" si="5"/>
        <v>48.6666666666667</v>
      </c>
      <c r="N13">
        <f t="shared" si="6"/>
        <v>48.649999999999999</v>
      </c>
      <c r="Q13">
        <f>N13-($E$3/60)</f>
        <v>48.633333333333297</v>
      </c>
      <c r="S13">
        <f>N13+($E$3/60)</f>
        <v>48.6666666666667</v>
      </c>
      <c r="U13">
        <f t="shared" si="9"/>
        <v>48.174999999999997</v>
      </c>
    </row>
    <row r="14" ht="14.25">
      <c r="B14" t="s">
        <v>43</v>
      </c>
      <c r="D14">
        <v>492.19</v>
      </c>
      <c r="F14">
        <v>48.5</v>
      </c>
      <c r="G14">
        <v>17</v>
      </c>
      <c r="H14">
        <f t="shared" si="3"/>
        <v>48.783333333333303</v>
      </c>
      <c r="J14">
        <f t="shared" si="4"/>
        <v>48.766666666666701</v>
      </c>
      <c r="K14">
        <f t="shared" si="5"/>
        <v>48.799999999999997</v>
      </c>
      <c r="N14">
        <f t="shared" si="6"/>
        <v>48.7916666666667</v>
      </c>
      <c r="Q14">
        <f>H14-($E$3/60)</f>
        <v>48.766666666666701</v>
      </c>
      <c r="S14">
        <f>H27+($E$3/60)</f>
        <v>48.816666666666698</v>
      </c>
      <c r="U14">
        <f t="shared" si="9"/>
        <v>48.316666666666599</v>
      </c>
    </row>
    <row r="15" ht="14.25">
      <c r="B15" t="s">
        <v>44</v>
      </c>
      <c r="D15">
        <v>447.14999999999998</v>
      </c>
      <c r="F15">
        <v>49</v>
      </c>
      <c r="G15">
        <v>7</v>
      </c>
      <c r="H15">
        <f t="shared" si="3"/>
        <v>49.116666666666703</v>
      </c>
      <c r="J15">
        <f t="shared" si="4"/>
        <v>49.100000000000001</v>
      </c>
      <c r="K15">
        <f t="shared" si="5"/>
        <v>49.133333333333297</v>
      </c>
      <c r="N15">
        <f t="shared" si="6"/>
        <v>49.108333333333299</v>
      </c>
      <c r="Q15">
        <f t="shared" ref="Q15:Q16" si="10">H28-($E$3/60)</f>
        <v>49.0833333333333</v>
      </c>
      <c r="S15">
        <f t="shared" ref="S15:S16" si="11">H15+($E$3/60)</f>
        <v>49.133333333333297</v>
      </c>
      <c r="U15">
        <f t="shared" si="9"/>
        <v>48.633333333333297</v>
      </c>
    </row>
    <row r="16" ht="14.25">
      <c r="B16" t="s">
        <v>45</v>
      </c>
      <c r="D16">
        <v>438.79000000000002</v>
      </c>
      <c r="F16">
        <v>49.5</v>
      </c>
      <c r="G16">
        <v>7</v>
      </c>
      <c r="H16">
        <f t="shared" si="3"/>
        <v>49.616666666666703</v>
      </c>
      <c r="J16">
        <f t="shared" si="4"/>
        <v>49.600000000000001</v>
      </c>
      <c r="K16">
        <f t="shared" si="5"/>
        <v>49.633333333333297</v>
      </c>
      <c r="N16">
        <f t="shared" si="6"/>
        <v>49.600000000000001</v>
      </c>
      <c r="Q16">
        <f t="shared" si="10"/>
        <v>49.566666666666698</v>
      </c>
      <c r="S16">
        <f t="shared" si="11"/>
        <v>49.633333333333297</v>
      </c>
      <c r="U16">
        <f t="shared" si="9"/>
        <v>49.125</v>
      </c>
    </row>
    <row r="17" ht="14.25">
      <c r="O17" t="s">
        <v>46</v>
      </c>
    </row>
    <row r="19" ht="14.25">
      <c r="B19" t="s">
        <v>47</v>
      </c>
    </row>
    <row r="21" ht="14.25">
      <c r="B21" t="s">
        <v>28</v>
      </c>
      <c r="C21" s="4"/>
      <c r="D21" t="s">
        <v>29</v>
      </c>
      <c r="E21" s="4"/>
      <c r="F21" t="s">
        <v>30</v>
      </c>
      <c r="G21" t="s">
        <v>31</v>
      </c>
      <c r="H21" t="s">
        <v>32</v>
      </c>
      <c r="I21" s="4" t="s">
        <v>46</v>
      </c>
      <c r="J21" t="s">
        <v>33</v>
      </c>
      <c r="K21" t="s">
        <v>34</v>
      </c>
    </row>
    <row r="22" ht="14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4.25">
      <c r="B23" t="str">
        <f t="shared" ref="B23:B29" si="12">B10</f>
        <v>Dunkelrot</v>
      </c>
      <c r="C23" s="4"/>
      <c r="D23" s="4">
        <v>706.53999999999996</v>
      </c>
      <c r="E23" s="4"/>
      <c r="F23" s="4">
        <v>47</v>
      </c>
      <c r="G23" s="4">
        <v>0</v>
      </c>
      <c r="H23" s="4">
        <f t="shared" si="3"/>
        <v>47</v>
      </c>
      <c r="I23" s="4"/>
      <c r="J23" s="4">
        <f t="shared" si="4"/>
        <v>46.983333333333299</v>
      </c>
      <c r="K23" s="4">
        <f t="shared" si="5"/>
        <v>47.016666666666701</v>
      </c>
    </row>
    <row r="24" ht="14.25">
      <c r="B24" t="str">
        <f t="shared" si="12"/>
        <v>Rot</v>
      </c>
      <c r="C24" s="4"/>
      <c r="D24" s="4">
        <v>667.82000000000005</v>
      </c>
      <c r="E24" s="4"/>
      <c r="F24" s="4">
        <v>47</v>
      </c>
      <c r="G24" s="4">
        <v>10</v>
      </c>
      <c r="H24" s="4">
        <f t="shared" si="3"/>
        <v>47.1666666666667</v>
      </c>
      <c r="I24" s="4"/>
      <c r="J24" s="4">
        <f t="shared" si="4"/>
        <v>47.149999999999999</v>
      </c>
      <c r="K24" s="4">
        <f t="shared" si="5"/>
        <v>47.183333333333302</v>
      </c>
    </row>
    <row r="25" ht="14.25">
      <c r="B25" t="str">
        <f t="shared" si="12"/>
        <v>Gelb</v>
      </c>
      <c r="C25" s="4"/>
      <c r="D25" s="4">
        <v>587.55999999999995</v>
      </c>
      <c r="E25" s="4"/>
      <c r="F25" s="4">
        <v>47.5</v>
      </c>
      <c r="G25" s="4">
        <v>15</v>
      </c>
      <c r="H25" s="4">
        <f t="shared" si="3"/>
        <v>47.75</v>
      </c>
      <c r="I25" s="4"/>
      <c r="J25" s="4">
        <f t="shared" si="4"/>
        <v>47.733333333333299</v>
      </c>
      <c r="K25" s="4">
        <f t="shared" si="5"/>
        <v>47.766666666666701</v>
      </c>
    </row>
    <row r="26" ht="14.25">
      <c r="B26" t="str">
        <f t="shared" si="12"/>
        <v>Grün</v>
      </c>
      <c r="C26" s="4"/>
      <c r="D26" s="4">
        <v>501.56999999999999</v>
      </c>
      <c r="E26" s="4"/>
      <c r="F26" s="4">
        <v>48.5</v>
      </c>
      <c r="G26" s="4">
        <v>9</v>
      </c>
      <c r="H26" s="4">
        <f t="shared" si="3"/>
        <v>48.649999999999999</v>
      </c>
      <c r="I26" s="4"/>
      <c r="J26" s="4">
        <f t="shared" si="4"/>
        <v>48.633333333333297</v>
      </c>
      <c r="K26" s="4">
        <f t="shared" si="5"/>
        <v>48.6666666666667</v>
      </c>
    </row>
    <row r="27" ht="14.25">
      <c r="B27" t="str">
        <f t="shared" si="12"/>
        <v>Blaugrün</v>
      </c>
      <c r="C27" s="4"/>
      <c r="D27" s="4">
        <v>492.19</v>
      </c>
      <c r="E27" s="4"/>
      <c r="F27" s="4">
        <v>48.5</v>
      </c>
      <c r="G27" s="4">
        <v>18</v>
      </c>
      <c r="H27" s="4">
        <f t="shared" si="3"/>
        <v>48.799999999999997</v>
      </c>
      <c r="I27" s="4"/>
      <c r="J27" s="4">
        <f t="shared" si="4"/>
        <v>48.783333333333303</v>
      </c>
      <c r="K27" s="4">
        <f t="shared" si="5"/>
        <v>48.816666666666698</v>
      </c>
    </row>
    <row r="28" ht="14.25">
      <c r="B28" t="str">
        <f t="shared" si="12"/>
        <v>Blau</v>
      </c>
      <c r="C28" s="4"/>
      <c r="D28" s="4">
        <v>447.14999999999998</v>
      </c>
      <c r="E28" s="4"/>
      <c r="F28" s="4">
        <v>49</v>
      </c>
      <c r="G28" s="4">
        <v>6</v>
      </c>
      <c r="H28" s="4">
        <f t="shared" si="3"/>
        <v>49.100000000000001</v>
      </c>
      <c r="I28" s="4"/>
      <c r="J28" s="4">
        <f t="shared" si="4"/>
        <v>49.0833333333333</v>
      </c>
      <c r="K28" s="4">
        <f t="shared" si="5"/>
        <v>49.116666666666703</v>
      </c>
    </row>
    <row r="29" ht="14.25">
      <c r="B29" t="str">
        <f t="shared" si="12"/>
        <v>Violett</v>
      </c>
      <c r="C29" s="4"/>
      <c r="D29" s="4">
        <v>438.79000000000002</v>
      </c>
      <c r="E29" s="4"/>
      <c r="F29" s="4">
        <v>49.5</v>
      </c>
      <c r="G29" s="4">
        <v>5</v>
      </c>
      <c r="H29" s="4">
        <f t="shared" si="3"/>
        <v>49.5833333333333</v>
      </c>
      <c r="I29" s="4"/>
      <c r="J29" s="4">
        <f t="shared" si="4"/>
        <v>49.566666666666698</v>
      </c>
      <c r="K29" s="4">
        <f t="shared" si="5"/>
        <v>49.600000000000001</v>
      </c>
    </row>
    <row r="34" ht="14.25">
      <c r="H34" s="4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2" workbookViewId="0">
      <selection activeCell="A1" activeCellId="0" sqref="A1"/>
    </sheetView>
  </sheetViews>
  <sheetFormatPr defaultColWidth="8.6796875" defaultRowHeight="14.25"/>
  <sheetData>
    <row r="3" ht="14.25">
      <c r="B3" s="4" t="s">
        <v>48</v>
      </c>
      <c r="C3" s="4"/>
      <c r="D3" s="4" t="s">
        <v>23</v>
      </c>
      <c r="E3" s="4">
        <f>'3.1'!E11</f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4.25">
      <c r="B4" s="4"/>
      <c r="C4" s="4"/>
      <c r="D4" t="s">
        <v>24</v>
      </c>
      <c r="E4" s="4">
        <f>'3.1'!O7</f>
        <v>-0.47500000000002301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t="s">
        <v>25</v>
      </c>
      <c r="R4" s="4"/>
      <c r="S4" s="4"/>
      <c r="T4" s="4"/>
      <c r="U4" s="4"/>
      <c r="V4" s="4"/>
      <c r="W4" s="4"/>
    </row>
    <row r="5" ht="14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4.25">
      <c r="B6" s="4" t="s">
        <v>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t="s">
        <v>27</v>
      </c>
      <c r="R6" s="4"/>
      <c r="S6" s="4"/>
      <c r="T6" s="4"/>
      <c r="U6" s="4"/>
      <c r="V6" s="4"/>
      <c r="W6" s="4"/>
    </row>
    <row r="7" ht="14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4.25">
      <c r="B8" s="4" t="s">
        <v>28</v>
      </c>
      <c r="C8" s="4"/>
      <c r="D8" t="s">
        <v>29</v>
      </c>
      <c r="E8" s="4"/>
      <c r="F8" s="4" t="s">
        <v>30</v>
      </c>
      <c r="G8" s="4" t="s">
        <v>31</v>
      </c>
      <c r="H8" s="4" t="s">
        <v>32</v>
      </c>
      <c r="I8" s="4"/>
      <c r="J8" s="4" t="s">
        <v>33</v>
      </c>
      <c r="K8" s="4" t="s">
        <v>34</v>
      </c>
      <c r="L8" s="4"/>
      <c r="M8" s="4"/>
      <c r="N8" s="4" t="s">
        <v>49</v>
      </c>
      <c r="O8" s="4"/>
      <c r="P8" s="4"/>
      <c r="Q8" t="s">
        <v>36</v>
      </c>
      <c r="R8" s="4"/>
      <c r="S8" t="s">
        <v>37</v>
      </c>
      <c r="T8" s="4"/>
      <c r="U8" t="s">
        <v>38</v>
      </c>
      <c r="V8" s="4"/>
      <c r="W8" s="4"/>
    </row>
    <row r="9" ht="14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4.25">
      <c r="B10" s="4" t="str">
        <f>'3.4.1'!B10</f>
        <v>Dunkelrot</v>
      </c>
      <c r="C10" s="4"/>
      <c r="D10" s="4">
        <v>706.53999999999996</v>
      </c>
      <c r="E10" s="4"/>
      <c r="F10" s="4">
        <v>312</v>
      </c>
      <c r="G10" s="4">
        <v>22</v>
      </c>
      <c r="H10" s="4">
        <f t="shared" ref="H10:H29" si="13">F10+(G10/60)</f>
        <v>312.36666666666702</v>
      </c>
      <c r="I10" s="4"/>
      <c r="J10" s="4">
        <f t="shared" ref="J10:J29" si="14">H10-($E$3/60)</f>
        <v>312.35000000000002</v>
      </c>
      <c r="K10" s="4">
        <f t="shared" ref="K10:K29" si="15">H10+($E$3/60)</f>
        <v>312.38333333333298</v>
      </c>
      <c r="L10" s="4"/>
      <c r="M10" s="4"/>
      <c r="N10" s="4">
        <f t="shared" ref="N10:N16" si="16">AVERAGE(H10,H23)</f>
        <v>312.35000000000002</v>
      </c>
      <c r="O10" s="4"/>
      <c r="P10" s="4"/>
      <c r="Q10" s="4">
        <f t="shared" ref="Q10:Q11" si="17">H23-($E$3/60)</f>
        <v>312.316666666667</v>
      </c>
      <c r="R10" s="4"/>
      <c r="S10" s="4">
        <f t="shared" ref="S10:S11" si="18">H10+($E$3/60)</f>
        <v>312.38333333333298</v>
      </c>
      <c r="T10" s="4"/>
      <c r="U10" s="4">
        <f t="shared" ref="U10:U16" si="19">N10-$E$4</f>
        <v>312.82499999999999</v>
      </c>
      <c r="V10" s="4"/>
      <c r="W10" s="4"/>
    </row>
    <row r="11" ht="14.25">
      <c r="B11" s="4" t="str">
        <f>'3.4.1'!B11</f>
        <v>Rot</v>
      </c>
      <c r="C11" s="4"/>
      <c r="D11" s="4">
        <v>667.82000000000005</v>
      </c>
      <c r="E11" s="4"/>
      <c r="F11" s="4">
        <v>312</v>
      </c>
      <c r="G11" s="4">
        <v>9</v>
      </c>
      <c r="H11" s="4">
        <f t="shared" si="13"/>
        <v>312.14999999999998</v>
      </c>
      <c r="I11" s="4"/>
      <c r="J11" s="4">
        <f t="shared" si="14"/>
        <v>312.13333333333298</v>
      </c>
      <c r="K11" s="4">
        <f t="shared" si="15"/>
        <v>312.16666666666703</v>
      </c>
      <c r="L11" s="4"/>
      <c r="M11" s="4"/>
      <c r="N11" s="4">
        <f t="shared" si="16"/>
        <v>312.14999999999998</v>
      </c>
      <c r="O11" s="4"/>
      <c r="P11" s="4"/>
      <c r="Q11" s="4">
        <f t="shared" si="17"/>
        <v>312.13333333333298</v>
      </c>
      <c r="R11" s="4"/>
      <c r="S11" s="4">
        <f t="shared" si="18"/>
        <v>312.16666666666703</v>
      </c>
      <c r="T11" s="4"/>
      <c r="U11" s="4">
        <f t="shared" si="19"/>
        <v>312.625</v>
      </c>
      <c r="V11" s="4"/>
      <c r="W11" s="4"/>
    </row>
    <row r="12" ht="14.25">
      <c r="B12" s="4" t="str">
        <f>'3.4.1'!B12</f>
        <v>Gelb</v>
      </c>
      <c r="C12" s="4"/>
      <c r="D12" s="4">
        <v>587.55999999999995</v>
      </c>
      <c r="E12" s="4"/>
      <c r="F12" s="4">
        <v>311.5</v>
      </c>
      <c r="G12" s="4">
        <v>6</v>
      </c>
      <c r="H12" s="4">
        <f t="shared" si="13"/>
        <v>311.60000000000002</v>
      </c>
      <c r="I12" s="4"/>
      <c r="J12" s="4">
        <f t="shared" si="14"/>
        <v>311.58333333333297</v>
      </c>
      <c r="K12" s="4">
        <f t="shared" si="15"/>
        <v>311.61666666666702</v>
      </c>
      <c r="L12" s="4"/>
      <c r="M12" s="4"/>
      <c r="N12" s="4">
        <f t="shared" si="16"/>
        <v>311.60000000000002</v>
      </c>
      <c r="O12" s="4"/>
      <c r="P12" s="4"/>
      <c r="Q12" s="4">
        <f t="shared" ref="Q12:Q16" si="20">H12-($E$3/60)</f>
        <v>311.58333333333297</v>
      </c>
      <c r="R12" s="4"/>
      <c r="S12" s="4">
        <f>H25+($E$3/60)</f>
        <v>311.61666666666702</v>
      </c>
      <c r="T12" s="4"/>
      <c r="U12" s="4">
        <f t="shared" si="19"/>
        <v>312.07499999999999</v>
      </c>
      <c r="V12" s="4"/>
      <c r="W12" s="4"/>
    </row>
    <row r="13" ht="14.25">
      <c r="B13" s="4" t="str">
        <f>'3.4.1'!B13</f>
        <v>Grün</v>
      </c>
      <c r="C13" s="4"/>
      <c r="D13" s="4">
        <v>501.56999999999999</v>
      </c>
      <c r="E13" s="4"/>
      <c r="F13" s="4">
        <v>310.5</v>
      </c>
      <c r="G13" s="4">
        <v>10</v>
      </c>
      <c r="H13" s="4">
        <f t="shared" si="13"/>
        <v>310.66666666666703</v>
      </c>
      <c r="I13" s="4"/>
      <c r="J13" s="4">
        <f t="shared" si="14"/>
        <v>310.64999999999998</v>
      </c>
      <c r="K13" s="4">
        <f t="shared" si="15"/>
        <v>310.683333333333</v>
      </c>
      <c r="L13" s="4"/>
      <c r="M13" s="4"/>
      <c r="N13" s="4">
        <f t="shared" si="16"/>
        <v>310.66666666666703</v>
      </c>
      <c r="O13" s="4"/>
      <c r="P13" s="4"/>
      <c r="Q13" s="4">
        <f t="shared" si="20"/>
        <v>310.64999999999998</v>
      </c>
      <c r="R13" s="4"/>
      <c r="S13" s="4">
        <f>N13+($E$3/60)</f>
        <v>310.683333333333</v>
      </c>
      <c r="T13" s="4"/>
      <c r="U13" s="4">
        <f t="shared" si="19"/>
        <v>311.14166666666699</v>
      </c>
      <c r="V13" s="4"/>
      <c r="W13" s="4"/>
    </row>
    <row r="14" ht="14.25">
      <c r="B14" s="4" t="str">
        <f>'3.4.1'!B14</f>
        <v>Blaugrün</v>
      </c>
      <c r="C14" s="4"/>
      <c r="D14" s="4">
        <v>492.19</v>
      </c>
      <c r="E14" s="4"/>
      <c r="F14" s="4">
        <v>310.5</v>
      </c>
      <c r="G14" s="4">
        <v>1</v>
      </c>
      <c r="H14" s="4">
        <f t="shared" si="13"/>
        <v>310.51666666666699</v>
      </c>
      <c r="I14" s="4"/>
      <c r="J14" s="4">
        <f t="shared" si="14"/>
        <v>310.5</v>
      </c>
      <c r="K14" s="4">
        <f t="shared" si="15"/>
        <v>310.53333333333302</v>
      </c>
      <c r="L14" s="4"/>
      <c r="M14" s="4"/>
      <c r="N14" s="4">
        <f t="shared" si="16"/>
        <v>310.52499999999998</v>
      </c>
      <c r="O14" s="4"/>
      <c r="P14" s="4"/>
      <c r="Q14" s="4">
        <f t="shared" si="20"/>
        <v>310.5</v>
      </c>
      <c r="R14" s="4"/>
      <c r="S14" s="4">
        <f t="shared" ref="S14:S16" si="21">H27+($E$3/60)</f>
        <v>310.55000000000001</v>
      </c>
      <c r="T14" s="4"/>
      <c r="U14" s="4">
        <f t="shared" si="19"/>
        <v>311</v>
      </c>
      <c r="V14" s="4"/>
      <c r="W14" s="4"/>
    </row>
    <row r="15" ht="14.25">
      <c r="B15" s="4" t="str">
        <f>'3.4.1'!B15</f>
        <v>Blau</v>
      </c>
      <c r="C15" s="4"/>
      <c r="D15" s="4">
        <v>447.14999999999998</v>
      </c>
      <c r="E15" s="4"/>
      <c r="F15" s="4">
        <v>310</v>
      </c>
      <c r="G15" s="4">
        <v>10</v>
      </c>
      <c r="H15" s="4">
        <f t="shared" si="13"/>
        <v>310.16666666666703</v>
      </c>
      <c r="I15" s="4"/>
      <c r="J15" s="4">
        <f t="shared" si="14"/>
        <v>310.14999999999998</v>
      </c>
      <c r="K15" s="4">
        <f t="shared" si="15"/>
        <v>310.183333333333</v>
      </c>
      <c r="L15" s="4"/>
      <c r="M15" s="4"/>
      <c r="N15" s="4">
        <f t="shared" si="16"/>
        <v>310.16666666666703</v>
      </c>
      <c r="O15" s="4"/>
      <c r="P15" s="4"/>
      <c r="Q15" s="4">
        <f t="shared" si="20"/>
        <v>310.14999999999998</v>
      </c>
      <c r="R15" s="4"/>
      <c r="S15" s="4">
        <f t="shared" si="21"/>
        <v>310.183333333333</v>
      </c>
      <c r="T15" s="4"/>
      <c r="U15" s="4">
        <f t="shared" si="19"/>
        <v>310.64166666666699</v>
      </c>
      <c r="V15" s="4"/>
      <c r="W15" s="4"/>
    </row>
    <row r="16" ht="14.25">
      <c r="B16" s="4" t="str">
        <f>'3.4.1'!B16</f>
        <v>Violett</v>
      </c>
      <c r="C16" s="4"/>
      <c r="D16" s="4">
        <v>438.79000000000002</v>
      </c>
      <c r="E16" s="4"/>
      <c r="F16" s="4">
        <v>309.5</v>
      </c>
      <c r="G16" s="4">
        <v>10</v>
      </c>
      <c r="H16" s="4">
        <f t="shared" si="13"/>
        <v>309.66666666666703</v>
      </c>
      <c r="I16" s="4"/>
      <c r="J16" s="4">
        <f t="shared" si="14"/>
        <v>309.64999999999998</v>
      </c>
      <c r="K16" s="4">
        <f t="shared" si="15"/>
        <v>309.683333333333</v>
      </c>
      <c r="L16" s="4"/>
      <c r="M16" s="4"/>
      <c r="N16" s="4">
        <f t="shared" si="16"/>
        <v>309.66666666666703</v>
      </c>
      <c r="O16" s="4"/>
      <c r="P16" s="4"/>
      <c r="Q16" s="4">
        <f t="shared" si="20"/>
        <v>309.64999999999998</v>
      </c>
      <c r="R16" s="4"/>
      <c r="S16" s="4">
        <f t="shared" si="21"/>
        <v>309.683333333333</v>
      </c>
      <c r="T16" s="4"/>
      <c r="U16" s="4">
        <f t="shared" si="19"/>
        <v>310.14166666666699</v>
      </c>
      <c r="V16" s="4"/>
      <c r="W16" s="4"/>
    </row>
    <row r="17" ht="14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 t="s">
        <v>46</v>
      </c>
      <c r="P17" s="4"/>
      <c r="Q17" s="4"/>
      <c r="R17" s="4"/>
      <c r="S17" s="4"/>
      <c r="T17" s="4"/>
      <c r="U17" s="4"/>
      <c r="V17" s="4"/>
      <c r="W17" s="4"/>
    </row>
    <row r="18" ht="14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4.25">
      <c r="B19" s="4" t="s">
        <v>47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4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4.25">
      <c r="B21" s="4" t="s">
        <v>28</v>
      </c>
      <c r="C21" s="4"/>
      <c r="D21" s="4" t="s">
        <v>29</v>
      </c>
      <c r="E21" s="4"/>
      <c r="F21" s="4" t="s">
        <v>30</v>
      </c>
      <c r="G21" s="4" t="s">
        <v>31</v>
      </c>
      <c r="H21" s="4" t="s">
        <v>32</v>
      </c>
      <c r="I21" s="4" t="s">
        <v>46</v>
      </c>
      <c r="J21" s="4" t="s">
        <v>33</v>
      </c>
      <c r="K21" s="4" t="s">
        <v>34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4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4.25">
      <c r="B23" s="4" t="str">
        <f t="shared" ref="B23:B29" si="22">B10</f>
        <v>Dunkelrot</v>
      </c>
      <c r="C23" s="4"/>
      <c r="D23" s="4">
        <v>706.53999999999996</v>
      </c>
      <c r="E23" s="4"/>
      <c r="F23" s="4">
        <v>312</v>
      </c>
      <c r="G23" s="4">
        <v>20</v>
      </c>
      <c r="H23" s="4">
        <f t="shared" si="13"/>
        <v>312.33333333333297</v>
      </c>
      <c r="I23" s="4"/>
      <c r="J23" s="4">
        <f t="shared" si="14"/>
        <v>312.316666666667</v>
      </c>
      <c r="K23" s="4">
        <f t="shared" si="15"/>
        <v>312.35000000000002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4.25">
      <c r="B24" s="4" t="str">
        <f t="shared" si="22"/>
        <v>Rot</v>
      </c>
      <c r="C24" s="4"/>
      <c r="D24" s="4">
        <v>667.82000000000005</v>
      </c>
      <c r="E24" s="4"/>
      <c r="F24" s="4">
        <v>312</v>
      </c>
      <c r="G24" s="4">
        <v>9</v>
      </c>
      <c r="H24" s="4">
        <f t="shared" si="13"/>
        <v>312.14999999999998</v>
      </c>
      <c r="I24" s="4"/>
      <c r="J24" s="4">
        <f t="shared" si="14"/>
        <v>312.13333333333298</v>
      </c>
      <c r="K24" s="4">
        <f t="shared" si="15"/>
        <v>312.16666666666703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4.25">
      <c r="B25" s="4" t="str">
        <f t="shared" si="22"/>
        <v>Gelb</v>
      </c>
      <c r="C25" s="4"/>
      <c r="D25" s="4">
        <v>587.55999999999995</v>
      </c>
      <c r="E25" s="4"/>
      <c r="F25" s="4">
        <v>311.5</v>
      </c>
      <c r="G25" s="4">
        <v>6</v>
      </c>
      <c r="H25" s="4">
        <f t="shared" si="13"/>
        <v>311.60000000000002</v>
      </c>
      <c r="I25" s="4"/>
      <c r="J25" s="4">
        <f t="shared" si="14"/>
        <v>311.58333333333297</v>
      </c>
      <c r="K25" s="4">
        <f t="shared" si="15"/>
        <v>311.61666666666702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4.25">
      <c r="B26" s="4" t="str">
        <f t="shared" si="22"/>
        <v>Grün</v>
      </c>
      <c r="C26" s="4"/>
      <c r="D26" s="4">
        <v>501.56999999999999</v>
      </c>
      <c r="E26" s="4"/>
      <c r="F26" s="4">
        <v>310.5</v>
      </c>
      <c r="G26" s="4">
        <v>10</v>
      </c>
      <c r="H26" s="4">
        <f t="shared" si="13"/>
        <v>310.66666666666703</v>
      </c>
      <c r="I26" s="4"/>
      <c r="J26" s="4">
        <f t="shared" si="14"/>
        <v>310.64999999999998</v>
      </c>
      <c r="K26" s="4">
        <f t="shared" si="15"/>
        <v>310.683333333333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4.25">
      <c r="B27" s="4" t="str">
        <f t="shared" si="22"/>
        <v>Blaugrün</v>
      </c>
      <c r="C27" s="4"/>
      <c r="D27" s="4">
        <v>492.19</v>
      </c>
      <c r="E27" s="4"/>
      <c r="F27" s="4">
        <v>310.5</v>
      </c>
      <c r="G27" s="4">
        <v>2</v>
      </c>
      <c r="H27" s="4">
        <f t="shared" si="13"/>
        <v>310.53333333333302</v>
      </c>
      <c r="I27" s="4"/>
      <c r="J27" s="4">
        <f t="shared" si="14"/>
        <v>310.51666666666699</v>
      </c>
      <c r="K27" s="4">
        <f t="shared" si="15"/>
        <v>310.55000000000001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4.25">
      <c r="B28" s="4" t="str">
        <f t="shared" si="22"/>
        <v>Blau</v>
      </c>
      <c r="C28" s="4"/>
      <c r="D28" s="4">
        <v>447.14999999999998</v>
      </c>
      <c r="E28" s="4"/>
      <c r="F28" s="4">
        <v>310</v>
      </c>
      <c r="G28" s="4">
        <v>10</v>
      </c>
      <c r="H28" s="4">
        <f t="shared" si="13"/>
        <v>310.16666666666703</v>
      </c>
      <c r="I28" s="4"/>
      <c r="J28" s="4">
        <f t="shared" si="14"/>
        <v>310.14999999999998</v>
      </c>
      <c r="K28" s="4">
        <f t="shared" si="15"/>
        <v>310.183333333333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4.25">
      <c r="B29" s="4" t="str">
        <f t="shared" si="22"/>
        <v>Violett</v>
      </c>
      <c r="C29" s="4"/>
      <c r="D29" s="4">
        <v>438.79000000000002</v>
      </c>
      <c r="E29" s="4"/>
      <c r="F29" s="4">
        <v>309.5</v>
      </c>
      <c r="G29" s="4">
        <v>10</v>
      </c>
      <c r="H29" s="4">
        <f t="shared" si="13"/>
        <v>309.66666666666703</v>
      </c>
      <c r="I29" s="4"/>
      <c r="J29" s="4">
        <f t="shared" si="14"/>
        <v>309.64999999999998</v>
      </c>
      <c r="K29" s="4">
        <f t="shared" si="15"/>
        <v>309.683333333333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4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4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4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4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4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4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4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4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4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4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4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4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4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4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4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4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4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2" workbookViewId="0">
      <selection activeCell="A1" activeCellId="0" sqref="A1"/>
    </sheetView>
  </sheetViews>
  <sheetFormatPr defaultColWidth="8.6796875" defaultRowHeight="15"/>
  <sheetData>
    <row r="4" ht="15">
      <c r="B4" t="s">
        <v>28</v>
      </c>
      <c r="D4" t="s">
        <v>50</v>
      </c>
      <c r="F4" t="s">
        <v>51</v>
      </c>
      <c r="M4" t="s">
        <v>52</v>
      </c>
    </row>
    <row r="7" ht="15">
      <c r="B7" t="str">
        <f>'3.4.1'!B10</f>
        <v>Dunkelrot</v>
      </c>
      <c r="D7">
        <f>'3.4.1'!N10</f>
        <v>47.008333333333297</v>
      </c>
      <c r="F7">
        <f t="array" ref="F7:F13">'3.4.2'!N10:N16</f>
        <v>312.35000000000002</v>
      </c>
      <c r="M7">
        <f t="shared" ref="M7:M9" si="23">D7-(360-F7)</f>
        <v>-0.64166666666667993</v>
      </c>
    </row>
    <row r="8" ht="15">
      <c r="B8" t="str">
        <f>'3.4.1'!B11</f>
        <v>Rot</v>
      </c>
      <c r="D8">
        <f>'3.4.1'!N11</f>
        <v>47.174999999999997</v>
      </c>
      <c r="F8">
        <f/>
        <v>312.14999999999998</v>
      </c>
      <c r="M8">
        <f t="shared" si="23"/>
        <v>-0.67500000000002558</v>
      </c>
    </row>
    <row r="9" ht="15">
      <c r="B9" t="str">
        <f>'3.4.1'!B12</f>
        <v>Gelb</v>
      </c>
      <c r="D9">
        <f>'3.4.1'!N12</f>
        <v>47.725000000000001</v>
      </c>
      <c r="F9">
        <f/>
        <v>311.60000000000002</v>
      </c>
      <c r="M9">
        <f t="shared" si="23"/>
        <v>-0.67499999999997584</v>
      </c>
    </row>
    <row r="10" ht="15">
      <c r="B10" t="str">
        <f>'3.4.1'!B13</f>
        <v>Grün</v>
      </c>
      <c r="D10">
        <f>'3.4.1'!N13</f>
        <v>48.649999999999999</v>
      </c>
      <c r="F10">
        <f/>
        <v>310.66666666666703</v>
      </c>
      <c r="M10">
        <f t="shared" ref="M10:M13" si="24">D10-(360-F10)</f>
        <v>-0.68333333333297475</v>
      </c>
    </row>
    <row r="11" ht="15">
      <c r="B11" t="str">
        <f>'3.4.1'!B14</f>
        <v>Blaugrün</v>
      </c>
      <c r="D11">
        <f>'3.4.1'!N14</f>
        <v>48.7916666666667</v>
      </c>
      <c r="F11">
        <f/>
        <v>310.52499999999998</v>
      </c>
      <c r="M11">
        <f t="shared" si="24"/>
        <v>-0.68333333333332291</v>
      </c>
    </row>
    <row r="12" ht="15">
      <c r="B12" t="str">
        <f>'3.4.1'!B15</f>
        <v>Blau</v>
      </c>
      <c r="D12">
        <f>'3.4.1'!N15</f>
        <v>49.108333333333299</v>
      </c>
      <c r="F12">
        <f/>
        <v>310.16666666666703</v>
      </c>
      <c r="M12">
        <f t="shared" si="24"/>
        <v>-0.72499999999967457</v>
      </c>
    </row>
    <row r="13" ht="15">
      <c r="B13" t="str">
        <f>'3.4.1'!B16</f>
        <v>Violett</v>
      </c>
      <c r="D13">
        <f>'3.4.1'!N16</f>
        <v>49.600000000000001</v>
      </c>
      <c r="F13">
        <f/>
        <v>309.66666666666703</v>
      </c>
      <c r="M13">
        <f t="shared" si="24"/>
        <v>-0.7333333333329719</v>
      </c>
    </row>
    <row r="17" ht="15">
      <c r="D17" s="3" t="s">
        <v>53</v>
      </c>
      <c r="F17" s="3" t="s">
        <v>54</v>
      </c>
      <c r="I17" t="s">
        <v>55</v>
      </c>
      <c r="L17" t="s">
        <v>56</v>
      </c>
    </row>
    <row r="19" ht="15">
      <c r="B19" s="4" t="str">
        <f t="shared" ref="B19:B21" si="25">B7</f>
        <v>Dunkelrot</v>
      </c>
      <c r="D19">
        <f>'3.4.1'!U10</f>
        <v>46.533333333333303</v>
      </c>
      <c r="F19">
        <f>'3.4.2'!U10</f>
        <v>312.82499999999999</v>
      </c>
      <c r="I19">
        <f t="shared" ref="I19:I25" si="26">D19-(360-F19)</f>
        <v>-0.64166666666670835</v>
      </c>
      <c r="L19">
        <f>AVERAGE(I19:I25)</f>
        <v>-0.68809523809512085</v>
      </c>
    </row>
    <row r="20" ht="15">
      <c r="B20" s="4" t="str">
        <f t="shared" si="25"/>
        <v>Rot</v>
      </c>
      <c r="D20">
        <f>'3.4.1'!U11</f>
        <v>46.700000000000003</v>
      </c>
      <c r="F20">
        <f>'3.4.2'!U11</f>
        <v>312.625</v>
      </c>
      <c r="I20">
        <f t="shared" si="26"/>
        <v>-0.67499999999999716</v>
      </c>
    </row>
    <row r="21" ht="15">
      <c r="B21" s="4" t="str">
        <f t="shared" si="25"/>
        <v>Gelb</v>
      </c>
      <c r="D21">
        <f>'3.4.1'!U12</f>
        <v>47.25</v>
      </c>
      <c r="F21">
        <f>'3.4.2'!U12</f>
        <v>312.07499999999999</v>
      </c>
      <c r="I21">
        <f t="shared" si="26"/>
        <v>-0.67500000000001137</v>
      </c>
    </row>
    <row r="22" ht="15">
      <c r="B22" s="4" t="str">
        <f t="shared" ref="B22:B25" si="27">B10</f>
        <v>Grün</v>
      </c>
      <c r="D22">
        <f>'3.4.1'!U13</f>
        <v>48.174999999999997</v>
      </c>
      <c r="F22">
        <f>'3.4.2'!U13</f>
        <v>311.14166666666699</v>
      </c>
      <c r="I22">
        <f t="shared" si="26"/>
        <v>-0.68333333333301027</v>
      </c>
    </row>
    <row r="23" ht="15">
      <c r="B23" s="4" t="str">
        <f t="shared" si="27"/>
        <v>Blaugrün</v>
      </c>
      <c r="D23">
        <f>'3.4.1'!U14</f>
        <v>48.316666666666599</v>
      </c>
      <c r="F23">
        <f>'3.4.2'!U14</f>
        <v>311</v>
      </c>
      <c r="I23">
        <f t="shared" si="26"/>
        <v>-0.68333333333340107</v>
      </c>
    </row>
    <row r="24" ht="15">
      <c r="B24" s="4" t="str">
        <f t="shared" si="27"/>
        <v>Blau</v>
      </c>
      <c r="D24">
        <f>'3.4.1'!U15</f>
        <v>48.633333333333297</v>
      </c>
      <c r="F24">
        <f>'3.4.2'!U15</f>
        <v>310.64166666666699</v>
      </c>
      <c r="I24">
        <f t="shared" si="26"/>
        <v>-0.7249999999997101</v>
      </c>
    </row>
    <row r="25" ht="15">
      <c r="B25" s="4" t="str">
        <f t="shared" si="27"/>
        <v>Violett</v>
      </c>
      <c r="D25">
        <f>'3.4.1'!U16</f>
        <v>49.125</v>
      </c>
      <c r="F25">
        <f>'3.4.2'!U16</f>
        <v>310.14166666666699</v>
      </c>
      <c r="I25">
        <f t="shared" si="26"/>
        <v>-0.73333333333300743</v>
      </c>
    </row>
    <row r="26" ht="15">
      <c r="B26" s="4"/>
    </row>
    <row r="27" ht="15">
      <c r="B27" s="4"/>
    </row>
    <row r="28" ht="15">
      <c r="B28" s="4"/>
    </row>
    <row r="29" ht="15">
      <c r="B29" s="4"/>
    </row>
    <row r="30" ht="15">
      <c r="B30" s="4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3">
      <c r="B3" t="s">
        <v>57</v>
      </c>
      <c r="C3" s="3" t="s">
        <v>58</v>
      </c>
      <c r="D3" t="s">
        <v>59</v>
      </c>
    </row>
    <row r="4">
      <c r="B4">
        <v>706.53999999999996</v>
      </c>
      <c r="C4">
        <v>46.533333333333303</v>
      </c>
      <c r="D4" s="3">
        <f t="shared" ref="D4:D9" si="28">SIN(RADIANS((C4+$B$17)/2))/SIN((RADIANS($B$17/2)))</f>
        <v>2.3933068033937048</v>
      </c>
      <c r="F4" t="s">
        <v>60</v>
      </c>
      <c r="G4" s="5">
        <v>8640.2000000000007</v>
      </c>
    </row>
    <row r="5">
      <c r="B5">
        <v>667.82000000000005</v>
      </c>
      <c r="C5">
        <v>46.700000000000003</v>
      </c>
      <c r="D5" s="3">
        <f t="shared" si="28"/>
        <v>2.3977178201951883</v>
      </c>
    </row>
    <row r="6">
      <c r="B6">
        <v>587.55999999999995</v>
      </c>
      <c r="C6">
        <v>47.25</v>
      </c>
      <c r="D6" s="3">
        <f t="shared" si="28"/>
        <v>2.4122381382102893</v>
      </c>
      <c r="F6" t="s">
        <v>61</v>
      </c>
      <c r="G6" s="6">
        <v>2353230</v>
      </c>
    </row>
    <row r="7">
      <c r="B7">
        <v>501.56999999999999</v>
      </c>
      <c r="C7">
        <v>48.174999999999997</v>
      </c>
      <c r="D7" s="3">
        <f t="shared" si="28"/>
        <v>2.4365331829467354</v>
      </c>
    </row>
    <row r="8">
      <c r="B8">
        <v>492.19</v>
      </c>
      <c r="C8">
        <v>48.316666666666599</v>
      </c>
      <c r="D8" s="3">
        <f t="shared" si="28"/>
        <v>2.4402400655214738</v>
      </c>
    </row>
    <row r="9">
      <c r="B9">
        <v>447.14999999999998</v>
      </c>
      <c r="C9">
        <v>48.633333333333297</v>
      </c>
      <c r="D9" s="3">
        <f t="shared" si="28"/>
        <v>2.4485125439748496</v>
      </c>
    </row>
    <row r="10">
      <c r="B10">
        <v>438.79000000000002</v>
      </c>
      <c r="C10">
        <v>49.125</v>
      </c>
      <c r="D10" s="3">
        <f>SIN(RADIANS((C10+$B$17)/2))/SIN((RADIANS($B$17/2)))</f>
        <v>2.4613195788436246</v>
      </c>
    </row>
    <row r="14" ht="15">
      <c r="B14" t="s">
        <v>21</v>
      </c>
    </row>
    <row r="16" ht="15">
      <c r="B16">
        <f>'3.3'!C22</f>
        <v>-29.991666666666504</v>
      </c>
    </row>
    <row r="17" ht="15">
      <c r="B17">
        <f>ABS(B16)</f>
        <v>29.991666666666504</v>
      </c>
    </row>
    <row r="18" ht="14.25">
      <c r="C18" t="s">
        <v>62</v>
      </c>
      <c r="F18" t="s">
        <v>63</v>
      </c>
      <c r="G18" t="s">
        <v>64</v>
      </c>
      <c r="I18" t="s">
        <v>65</v>
      </c>
    </row>
    <row r="20" ht="14.25">
      <c r="C20" t="s">
        <v>66</v>
      </c>
      <c r="F20">
        <v>1.458</v>
      </c>
      <c r="G20">
        <v>0.0035400000000000002</v>
      </c>
      <c r="I20">
        <f>(($G$4/1000)-G20)/(G20*100)</f>
        <v>24.397344632768363</v>
      </c>
    </row>
    <row r="21" ht="14.25">
      <c r="C21" t="s">
        <v>67</v>
      </c>
      <c r="F21">
        <v>1.5045999999999999</v>
      </c>
      <c r="G21">
        <v>0.0041999999999999997</v>
      </c>
      <c r="I21">
        <f>(($G$4/1000)-G21)/(G21*100)</f>
        <v>20.56190476190476</v>
      </c>
    </row>
    <row r="22" ht="14.25">
      <c r="C22" t="s">
        <v>68</v>
      </c>
      <c r="F22">
        <v>1.522</v>
      </c>
      <c r="G22">
        <v>0.0045900000000000003</v>
      </c>
      <c r="I22">
        <f>(($G$4/1000)-G22)/(G22*100)</f>
        <v>18.813965141612201</v>
      </c>
    </row>
    <row r="23" ht="14.25">
      <c r="C23" t="s">
        <v>69</v>
      </c>
      <c r="F23">
        <v>1.569</v>
      </c>
      <c r="G23">
        <v>0.0053099999999999996</v>
      </c>
      <c r="I23">
        <f>(($G$4/1000)-G23)/(G23*100)</f>
        <v>16.261563088512244</v>
      </c>
    </row>
    <row r="24" ht="14.25">
      <c r="C24" t="s">
        <v>70</v>
      </c>
      <c r="F24" s="7">
        <v>15904</v>
      </c>
      <c r="G24">
        <v>0.0057099999999999998</v>
      </c>
      <c r="I24">
        <f>(($G$4/1000)-G24)/(G24*100)</f>
        <v>15.121698774080562</v>
      </c>
    </row>
    <row r="25" ht="14.25">
      <c r="C25" t="s">
        <v>71</v>
      </c>
      <c r="F25">
        <v>1.6699999999999999</v>
      </c>
      <c r="G25">
        <v>0.00743</v>
      </c>
      <c r="I25">
        <f>(($G$4/1000)-G25)/(G25*100)</f>
        <v>11.618802153432034</v>
      </c>
    </row>
    <row r="26" ht="14.25">
      <c r="C26" t="s">
        <v>72</v>
      </c>
      <c r="F26">
        <v>1.728</v>
      </c>
      <c r="G26">
        <v>0.01342</v>
      </c>
      <c r="I26">
        <f>(($G$4/1000)-G26)/(G26*100)</f>
        <v>6.4283010432190766</v>
      </c>
    </row>
    <row r="27" ht="14.25">
      <c r="E27"/>
    </row>
    <row r="30" ht="14.25">
      <c r="E30"/>
    </row>
    <row r="33" ht="14.25">
      <c r="E33"/>
    </row>
    <row r="36" ht="14.25">
      <c r="E3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de-DE</dc:language>
  <cp:revision>7</cp:revision>
  <dcterms:modified xsi:type="dcterms:W3CDTF">2026-04-23T15:36:44Z</dcterms:modified>
</cp:coreProperties>
</file>